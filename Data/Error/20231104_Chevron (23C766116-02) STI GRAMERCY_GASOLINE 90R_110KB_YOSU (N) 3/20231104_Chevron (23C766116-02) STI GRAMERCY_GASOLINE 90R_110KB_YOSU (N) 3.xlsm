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6_Navarik_Register\Data\Input\20231104_Chevron (23C766116-02) STI GRAMERCY_GASOLINE 90R_110KB_YOSU (N) 3\"/>
    </mc:Choice>
  </mc:AlternateContent>
  <xr:revisionPtr revIDLastSave="0" documentId="13_ncr:1_{507255EC-60FD-4F9D-B9C2-FE9CFD715C31}" xr6:coauthVersionLast="45" xr6:coauthVersionMax="47" xr10:uidLastSave="{00000000-0000-0000-0000-000000000000}"/>
  <bookViews>
    <workbookView xWindow="780" yWindow="780" windowWidth="21600" windowHeight="11385" tabRatio="688" activeTab="12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F36" i="1"/>
  <c r="F37" i="1" s="1"/>
  <c r="D36" i="1"/>
  <c r="D37" i="1" s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24" i="1"/>
  <c r="C36" i="1"/>
  <c r="C37" i="1" s="1"/>
</calcChain>
</file>

<file path=xl/sharedStrings.xml><?xml version="1.0" encoding="utf-8"?>
<sst xmlns="http://schemas.openxmlformats.org/spreadsheetml/2006/main" count="1230" uniqueCount="788">
  <si>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</si>
  <si>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</si>
  <si>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</si>
  <si>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</si>
  <si>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</si>
  <si>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</si>
  <si>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</si>
  <si>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</si>
  <si>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</si>
  <si>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</si>
  <si>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</si>
  <si>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</si>
  <si>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</si>
  <si>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</si>
  <si>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</si>
  <si>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</si>
  <si>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</si>
  <si>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</si>
  <si>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</si>
  <si>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</si>
  <si>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</si>
  <si>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</si>
  <si>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</si>
  <si>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</si>
  <si>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</si>
  <si>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</si>
  <si>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</si>
  <si>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</si>
  <si>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</si>
  <si>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</si>
  <si>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</si>
  <si>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</si>
  <si>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</si>
  <si>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</si>
  <si>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</si>
  <si>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</si>
  <si>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</si>
  <si>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</si>
  <si>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</si>
  <si>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</si>
  <si>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</si>
  <si>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</si>
  <si>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</si>
  <si>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</si>
  <si>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</si>
  <si>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</si>
  <si>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</si>
  <si>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</si>
  <si>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</si>
  <si>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</si>
  <si>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</si>
  <si>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</si>
  <si>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</si>
  <si>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</si>
  <si>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</si>
  <si>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</si>
  <si>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</si>
  <si>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</si>
  <si>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</si>
  <si>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</si>
  <si>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</si>
  <si>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</si>
  <si>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</si>
  <si>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</si>
  <si>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</si>
  <si>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</si>
  <si>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</si>
  <si>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</si>
  <si>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</si>
  <si>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</si>
  <si>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</si>
  <si>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</si>
  <si>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</si>
  <si>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</si>
  <si>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</si>
  <si>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</si>
  <si>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</si>
  <si>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</si>
  <si>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</si>
  <si>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</si>
  <si>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</si>
  <si>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</si>
  <si>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</si>
  <si>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</si>
  <si>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</si>
  <si>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</si>
  <si>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</si>
  <si>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</si>
  <si>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</si>
  <si>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</si>
  <si>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</si>
  <si>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</si>
  <si>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</si>
  <si>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</si>
  <si>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</si>
  <si>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</si>
  <si>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</si>
  <si>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</si>
  <si>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</si>
  <si>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</si>
  <si>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</si>
  <si>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</si>
  <si>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</si>
  <si>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</si>
  <si>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</si>
  <si>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</si>
  <si>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</si>
  <si>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</si>
  <si>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</si>
  <si>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</si>
  <si>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</si>
  <si>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</si>
  <si>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</si>
  <si>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</si>
  <si>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</si>
  <si>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</si>
  <si>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</si>
  <si>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</si>
  <si>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</si>
  <si>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</si>
  <si>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</si>
  <si>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</si>
  <si>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</si>
  <si>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</si>
  <si>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</si>
  <si>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</si>
  <si>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</si>
  <si>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</si>
  <si>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</si>
  <si>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</si>
  <si>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</si>
  <si>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</si>
  <si>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</si>
  <si>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</si>
  <si>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</si>
  <si>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</si>
  <si>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</si>
  <si>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</si>
  <si>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</si>
  <si>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</si>
  <si>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</si>
  <si>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</si>
  <si>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</si>
  <si>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</si>
  <si>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</si>
  <si>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</si>
  <si>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</si>
  <si>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</si>
  <si>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</si>
  <si>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</si>
  <si>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</si>
  <si>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</si>
  <si>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</si>
  <si>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</si>
  <si>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</si>
  <si>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</si>
  <si>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</si>
  <si>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</si>
  <si>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</si>
  <si>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</si>
  <si>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</si>
  <si>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</si>
  <si>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</si>
  <si>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</si>
  <si>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</si>
  <si>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</si>
  <si>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</si>
  <si>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</si>
  <si>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</si>
  <si>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</si>
  <si>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</si>
  <si>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</si>
  <si>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</si>
  <si>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</si>
  <si>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</si>
  <si>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</si>
  <si>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</si>
  <si>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</si>
  <si>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</si>
  <si>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</si>
  <si>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</si>
  <si>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</si>
  <si>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</si>
  <si>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</si>
  <si>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</si>
  <si>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</si>
  <si>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</si>
  <si>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</si>
  <si>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</si>
  <si>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</si>
  <si>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</si>
  <si>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</si>
  <si>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</si>
  <si>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</si>
  <si>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</si>
  <si>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</si>
  <si>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</si>
  <si>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</si>
  <si>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</si>
  <si>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</si>
  <si>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</si>
  <si>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</si>
  <si>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</si>
  <si>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</si>
  <si>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</si>
  <si>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</si>
  <si>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</si>
  <si>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</si>
  <si>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</si>
  <si>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</si>
  <si>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</si>
  <si>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</si>
  <si>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</si>
  <si>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</si>
  <si>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</si>
  <si>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</si>
  <si>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</si>
  <si>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</si>
  <si>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</si>
  <si>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</si>
  <si>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</si>
  <si>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</si>
  <si>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</si>
  <si>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</si>
  <si>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</si>
  <si>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</si>
  <si>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</si>
  <si>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</si>
  <si>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</si>
  <si>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</si>
  <si>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</si>
  <si>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</si>
  <si>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</si>
  <si>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</si>
  <si>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</si>
  <si>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</si>
  <si>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</si>
  <si>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</si>
  <si>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</si>
  <si>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</si>
  <si>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</si>
  <si>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</si>
  <si>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</si>
  <si>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</si>
  <si>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</si>
  <si>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</si>
  <si>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</si>
  <si>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</si>
  <si>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</si>
  <si>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</si>
  <si>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</si>
  <si>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</si>
  <si>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</si>
  <si>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</si>
  <si>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</si>
  <si>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</si>
  <si>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</si>
  <si>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</si>
  <si>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</si>
  <si>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</si>
  <si>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</si>
  <si>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</si>
  <si>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</si>
  <si>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</si>
  <si>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</si>
  <si>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</si>
  <si>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</si>
  <si>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</si>
  <si>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</si>
  <si>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</si>
  <si>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</si>
  <si>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</si>
  <si>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</si>
  <si>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</si>
  <si>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</si>
  <si>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</si>
  <si>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</si>
  <si>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</si>
  <si>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</si>
  <si>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</si>
  <si>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</si>
  <si>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</si>
  <si>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</si>
  <si>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</si>
  <si>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</si>
  <si>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</si>
  <si>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</si>
  <si>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</si>
  <si>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</si>
  <si>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</si>
  <si>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</si>
  <si>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</si>
  <si>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</si>
  <si>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</si>
  <si>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</si>
  <si>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</si>
  <si>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</si>
  <si>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</si>
  <si>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</si>
  <si>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</si>
  <si>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</si>
  <si>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</si>
  <si>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</si>
  <si>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</si>
  <si>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</si>
  <si>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</si>
  <si>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</si>
  <si>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</si>
  <si>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</si>
  <si>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</si>
  <si>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</si>
  <si>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</si>
  <si>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</si>
  <si>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</si>
  <si>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</si>
  <si>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</si>
  <si>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</si>
  <si>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</si>
  <si>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</si>
  <si>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</si>
  <si>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</si>
  <si>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</si>
  <si>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</si>
  <si>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</si>
  <si>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</si>
  <si>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</si>
  <si>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</si>
  <si>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</si>
  <si>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</si>
  <si>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</si>
  <si>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</si>
  <si>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</si>
  <si>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</si>
  <si>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</si>
  <si>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</si>
  <si>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</si>
  <si>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</si>
  <si>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</si>
  <si>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</si>
  <si>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</si>
  <si>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</si>
  <si>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</si>
  <si>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</si>
  <si>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</si>
  <si>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</si>
  <si>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</si>
  <si>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</si>
  <si>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</si>
  <si>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</si>
  <si>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</si>
  <si>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</si>
  <si>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</si>
  <si>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</si>
  <si>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</si>
  <si>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</si>
  <si>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</si>
  <si>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</si>
  <si>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</si>
  <si>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</si>
  <si>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</si>
  <si>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</si>
  <si>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</si>
  <si>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</si>
  <si>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</si>
  <si>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</si>
  <si>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</si>
  <si>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</si>
  <si>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</si>
  <si>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</si>
  <si>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</si>
  <si>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</si>
  <si>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</si>
  <si>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</si>
  <si>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</si>
  <si>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</si>
  <si>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</si>
  <si>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</si>
  <si>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</si>
  <si>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</si>
  <si>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</si>
  <si>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</si>
  <si>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</si>
  <si>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</si>
  <si>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</si>
  <si>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</si>
  <si>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</si>
  <si>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</si>
  <si>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</si>
  <si>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</si>
  <si>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</si>
  <si>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</si>
  <si>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</si>
  <si>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</si>
  <si>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</si>
  <si>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</si>
  <si>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</si>
  <si>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</si>
  <si>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</si>
  <si>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</si>
  <si>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</si>
  <si>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</si>
  <si>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</si>
  <si>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</si>
  <si>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</si>
  <si>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</si>
  <si>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</si>
  <si>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</si>
  <si>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</si>
  <si>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</si>
  <si>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</si>
  <si>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</si>
  <si>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</si>
  <si>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</si>
  <si>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</si>
  <si>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</si>
  <si>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</si>
  <si>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</si>
  <si>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</si>
  <si>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</si>
  <si>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</si>
  <si>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</si>
  <si>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</si>
  <si>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</si>
  <si>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</si>
  <si>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</si>
  <si>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</si>
  <si>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</si>
  <si>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</si>
  <si>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</si>
  <si>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</si>
  <si>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</si>
  <si>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</si>
  <si>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</si>
  <si>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</si>
  <si>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</si>
  <si>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</si>
  <si>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</si>
  <si>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</si>
  <si>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</si>
  <si>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</si>
  <si>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</si>
  <si>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</si>
  <si>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</si>
  <si>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</si>
  <si>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</si>
  <si>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</si>
  <si>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</si>
  <si>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</si>
  <si>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</si>
  <si>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</si>
  <si>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</si>
  <si>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</si>
  <si>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</si>
  <si>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</si>
  <si>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</si>
  <si>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</si>
  <si>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</si>
  <si>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</si>
  <si>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</si>
  <si>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</si>
  <si>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</si>
  <si>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</si>
  <si>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</si>
  <si>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</si>
  <si>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</si>
  <si>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</si>
  <si>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</si>
  <si>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</si>
  <si>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</si>
  <si>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</si>
  <si>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</si>
  <si>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</si>
  <si>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</si>
  <si>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</si>
  <si>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</si>
  <si>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</si>
  <si>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</si>
  <si>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</si>
  <si>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</si>
  <si>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</si>
  <si>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</si>
  <si>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</si>
  <si>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</si>
  <si>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</si>
  <si>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</si>
  <si>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</si>
  <si>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</si>
  <si>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</si>
  <si>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</si>
  <si>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</si>
  <si>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</si>
  <si>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</si>
  <si>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</si>
  <si>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</si>
  <si>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</si>
  <si>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</si>
  <si>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</si>
  <si>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</si>
  <si>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</si>
  <si>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</si>
  <si>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</si>
  <si>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</si>
  <si>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</si>
  <si>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</si>
  <si>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</si>
  <si>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</si>
  <si>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</si>
  <si>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</si>
  <si>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</si>
  <si>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</si>
  <si>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</si>
  <si>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</si>
  <si>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</si>
  <si>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</si>
  <si>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</si>
  <si>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</si>
  <si>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</si>
  <si>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</si>
  <si>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</si>
  <si>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</si>
  <si>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</si>
  <si>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</si>
  <si>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</si>
  <si>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</si>
  <si>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</si>
  <si>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</si>
  <si>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</si>
  <si>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</si>
  <si>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</si>
  <si>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</si>
  <si>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</si>
  <si>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</si>
  <si>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</si>
  <si>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</si>
  <si>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</si>
  <si>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</si>
  <si>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</si>
  <si>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</si>
  <si>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</si>
  <si>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</si>
  <si>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</si>
  <si>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</si>
  <si>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</si>
  <si>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</si>
  <si>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</si>
  <si>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</si>
  <si>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</si>
  <si>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</si>
  <si>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</si>
  <si>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</si>
  <si>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</si>
  <si>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</si>
  <si>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</si>
  <si>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</si>
  <si>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</si>
  <si>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</si>
  <si>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</si>
  <si>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</si>
  <si>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</si>
  <si>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</si>
  <si>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</si>
  <si>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</si>
  <si>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</si>
  <si>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</si>
  <si>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</si>
  <si>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</si>
  <si>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</si>
  <si>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</si>
  <si>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</si>
  <si>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</si>
  <si>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</si>
  <si>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</si>
  <si>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</si>
  <si>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</si>
  <si>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</si>
  <si>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</si>
  <si>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</si>
  <si>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</si>
  <si>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</si>
  <si>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</si>
  <si>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</si>
  <si>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</si>
  <si>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</si>
  <si>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</si>
  <si>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</si>
  <si>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</si>
  <si>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</si>
  <si>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</si>
  <si>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</si>
  <si>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</si>
  <si>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</si>
  <si>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</si>
  <si>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</si>
  <si>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</si>
  <si>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</si>
  <si>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</si>
  <si>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</si>
  <si>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</si>
  <si>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</si>
  <si>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</si>
  <si>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</si>
  <si>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</si>
  <si>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</si>
  <si>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</si>
  <si>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</si>
  <si>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</si>
  <si>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</si>
  <si>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</si>
  <si>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</si>
  <si>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</si>
  <si>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</si>
  <si>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</si>
  <si>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</si>
  <si>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</si>
  <si>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</si>
  <si>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</si>
  <si>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</si>
  <si>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</si>
  <si>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</si>
  <si>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</si>
  <si>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</si>
  <si>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</si>
  <si>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</si>
  <si>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</si>
  <si>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</si>
  <si>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</si>
  <si>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</si>
  <si>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</si>
  <si>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</si>
  <si>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</si>
  <si>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</si>
  <si>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</si>
  <si>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</si>
  <si>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</si>
  <si>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</si>
  <si>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</si>
  <si>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</si>
  <si>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</si>
  <si>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</si>
  <si>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</si>
  <si>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</si>
  <si>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</si>
  <si>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</si>
  <si>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</si>
  <si>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</si>
  <si>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</si>
  <si>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</si>
  <si>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</si>
  <si>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</si>
  <si>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</si>
  <si>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</si>
  <si>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</si>
  <si>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</si>
  <si>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</si>
  <si>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</si>
  <si>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</si>
  <si>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</si>
  <si>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</si>
  <si>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</si>
  <si>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</si>
  <si>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</si>
  <si>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</si>
  <si>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</si>
  <si>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</si>
  <si>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</si>
  <si>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</si>
  <si>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</si>
  <si>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</si>
  <si>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</si>
  <si>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</si>
  <si>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</si>
  <si>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</si>
  <si>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</si>
  <si>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</si>
  <si>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</si>
  <si>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</si>
  <si>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</si>
  <si>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</si>
  <si>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</si>
  <si>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</si>
  <si>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</si>
  <si>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</si>
  <si>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</si>
  <si>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</si>
  <si>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</si>
  <si>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</si>
  <si>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</si>
  <si>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</si>
  <si>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</si>
  <si>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</si>
  <si>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</si>
  <si>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</si>
  <si>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</si>
  <si>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</si>
  <si>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</si>
  <si>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</si>
  <si>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</si>
  <si>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</si>
  <si>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23C766116-02</t>
  </si>
  <si>
    <t>STI GRAMERCY</t>
  </si>
  <si>
    <t>Unleaded Gasoline 90 Ron</t>
  </si>
  <si>
    <t>여수</t>
    <phoneticPr fontId="1" type="noConversion"/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</si>
  <si>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</si>
  <si>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</si>
  <si>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</si>
  <si>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</si>
  <si>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</si>
  <si>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</si>
  <si>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</si>
  <si>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</si>
  <si>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</si>
  <si>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</si>
  <si>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</si>
  <si>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</si>
  <si>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</si>
  <si>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</si>
  <si>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</si>
  <si>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</si>
  <si>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</si>
  <si>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</si>
  <si>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</si>
  <si>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</si>
  <si>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</si>
  <si>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</si>
  <si>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</si>
  <si>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</si>
  <si>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</si>
  <si>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max = 782 (buy)</t>
  </si>
  <si>
    <t>max = 70 (buy)</t>
  </si>
  <si>
    <t>min = 85 / max = 120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</si>
  <si>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</si>
  <si>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</si>
  <si>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</si>
  <si>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</si>
  <si>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</si>
  <si>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</si>
  <si>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90.0 (buy)</t>
  </si>
  <si>
    <t>max = 0.005 (buy)</t>
  </si>
  <si>
    <t>max = 61 (buy)</t>
  </si>
  <si>
    <t>max = 0.05 (buy)</t>
  </si>
  <si>
    <t>visual</t>
  </si>
  <si>
    <t>%vol</t>
  </si>
  <si>
    <t>rating</t>
  </si>
  <si>
    <t>kg/m³</t>
  </si>
  <si>
    <t>°C</t>
  </si>
  <si>
    <t>mg/100ml</t>
  </si>
  <si>
    <t>mg/l</t>
  </si>
  <si>
    <t>%m/m</t>
  </si>
  <si>
    <t>kPa</t>
  </si>
  <si>
    <t>[OTHER] Visual</t>
  </si>
  <si>
    <t>[ASTM] D6839</t>
  </si>
  <si>
    <t>[ASTM] D130</t>
  </si>
  <si>
    <t>[ASTM] D4052</t>
  </si>
  <si>
    <t>[ASTM] D86</t>
  </si>
  <si>
    <t>[ASTM] D4815-04</t>
  </si>
  <si>
    <t>[ASTM] D381</t>
  </si>
  <si>
    <t>[ASTM] D3237</t>
  </si>
  <si>
    <t>[ASTM] D2699</t>
  </si>
  <si>
    <t>[ASTM] D4815</t>
  </si>
  <si>
    <t>[ASTM] D5453</t>
  </si>
  <si>
    <t>[ASTM] D5191 (ASTM)</t>
  </si>
  <si>
    <t>* </t>
  </si>
  <si>
    <t>ASTM D6304</t>
    <phoneticPr fontId="1" type="noConversion"/>
  </si>
  <si>
    <t>PASS</t>
    <phoneticPr fontId="1" type="noConversion"/>
  </si>
  <si>
    <t>25.4</t>
    <phoneticPr fontId="1" type="noConversion"/>
  </si>
  <si>
    <t>0.7</t>
    <phoneticPr fontId="1" type="noConversion"/>
  </si>
  <si>
    <t>UNDYED</t>
    <phoneticPr fontId="1" type="noConversion"/>
  </si>
  <si>
    <t>1</t>
    <phoneticPr fontId="1" type="noConversion"/>
  </si>
  <si>
    <t>&lt;</t>
  </si>
  <si>
    <t>738.0</t>
    <phoneticPr fontId="1" type="noConversion"/>
  </si>
  <si>
    <t>55.0</t>
    <phoneticPr fontId="1" type="noConversion"/>
  </si>
  <si>
    <t>96.0</t>
    <phoneticPr fontId="1" type="noConversion"/>
  </si>
  <si>
    <t>165.0</t>
    <phoneticPr fontId="1" type="noConversion"/>
  </si>
  <si>
    <t>198.0</t>
    <phoneticPr fontId="1" type="noConversion"/>
  </si>
  <si>
    <t>1.6</t>
    <phoneticPr fontId="1" type="noConversion"/>
  </si>
  <si>
    <t>1.0</t>
    <phoneticPr fontId="1" type="noConversion"/>
  </si>
  <si>
    <t>0</t>
    <phoneticPr fontId="1" type="noConversion"/>
  </si>
  <si>
    <t>3.0</t>
    <phoneticPr fontId="1" type="noConversion"/>
  </si>
  <si>
    <t>2.5</t>
    <phoneticPr fontId="1" type="noConversion"/>
  </si>
  <si>
    <t>90.7</t>
    <phoneticPr fontId="1" type="noConversion"/>
  </si>
  <si>
    <t>0.0030</t>
    <phoneticPr fontId="1" type="noConversion"/>
  </si>
  <si>
    <t>58.2</t>
    <phoneticPr fontId="1" type="noConversion"/>
  </si>
  <si>
    <t>0.013</t>
    <phoneticPr fontId="1" type="noConversion"/>
  </si>
  <si>
    <t>20D-561</t>
    <phoneticPr fontId="1" type="noConversion"/>
  </si>
  <si>
    <t>Kai Kim</t>
    <phoneticPr fontId="1" type="noConversion"/>
  </si>
  <si>
    <t>Gs catlex</t>
    <phoneticPr fontId="1" type="noConversion"/>
  </si>
  <si>
    <t>6B</t>
  </si>
  <si>
    <t>YL23-20024194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</si>
</sst>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6" sqref="C6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701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699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700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45241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45057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45333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topLeftCell="A13" zoomScaleNormal="100" workbookViewId="0">
      <selection activeCell="F8" sqref="F8"/>
    </sheetView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>
        <v>45240</v>
      </c>
      <c r="D4" s="168" t="s">
        <v>323</v>
      </c>
      <c r="E4" s="25"/>
      <c r="F4" s="290" t="s">
        <v>787</v>
      </c>
      <c r="G4" s="291"/>
      <c r="H4" s="36"/>
    </row>
    <row r="5" spans="1:78" ht="15" customHeight="1">
      <c r="A5" s="36"/>
      <c r="B5" s="42" t="s">
        <v>224</v>
      </c>
      <c r="C5" s="46" t="s">
        <v>784</v>
      </c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 t="s">
        <v>785</v>
      </c>
      <c r="D6" s="168" t="s">
        <v>273</v>
      </c>
      <c r="E6" s="25"/>
      <c r="F6" s="288" t="str">
        <f>IF('Navarik 설정'!C22="","",'Navarik 설정'!C22)</f>
        <v>Unleaded Gasoline 90 Ron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>
        <v>0.99950000000000006</v>
      </c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>
        <f>IF(C12="","",C12)</f>
        <v>108280</v>
      </c>
      <c r="D11" s="31">
        <f t="shared" ref="D11" si="0">IF(D12="","",D12)</f>
        <v>17282.966</v>
      </c>
      <c r="E11" s="30">
        <f>IF(E12="","",E12)</f>
        <v>12532.3</v>
      </c>
      <c r="F11" s="31">
        <f>IF(F12="","",F12)</f>
        <v>12733.4</v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>
        <v>108280</v>
      </c>
      <c r="D12" s="28">
        <v>17282.966</v>
      </c>
      <c r="E12" s="27">
        <v>12532.3</v>
      </c>
      <c r="F12" s="28">
        <v>12733.4</v>
      </c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>
        <f>IF(C12="","",C12)</f>
        <v>108280</v>
      </c>
      <c r="D13" s="31">
        <f t="shared" ref="D13" si="1">IF(D12="","",D12)</f>
        <v>17282.966</v>
      </c>
      <c r="E13" s="30">
        <f>IF(E12="","",E12)</f>
        <v>12532.3</v>
      </c>
      <c r="F13" s="31">
        <f>IF(F12="","",F12)</f>
        <v>12733.4</v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 t="s">
        <v>786</v>
      </c>
      <c r="D15" s="44"/>
      <c r="E15" s="198" t="s">
        <v>651</v>
      </c>
      <c r="F15" s="37" t="s">
        <v>199</v>
      </c>
      <c r="G15" s="26">
        <v>0.73799999999999999</v>
      </c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>
        <v>72</v>
      </c>
      <c r="D16" s="24" t="s">
        <v>349</v>
      </c>
      <c r="E16" s="199" t="s">
        <v>398</v>
      </c>
      <c r="F16" s="37" t="s">
        <v>200</v>
      </c>
      <c r="G16" s="33">
        <v>60.2</v>
      </c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>
        <f>IF(C25="","",C25)</f>
        <v>108831</v>
      </c>
      <c r="D24" s="160">
        <f>IF(D25="","",D25)</f>
        <v>17291.069</v>
      </c>
      <c r="E24" s="161">
        <f t="shared" ref="E24" si="5">IF(E25="","",E25)</f>
        <v>12538.1</v>
      </c>
      <c r="F24" s="160">
        <f>IF(F25="","",F25)</f>
        <v>12739.3</v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>
        <v>108831</v>
      </c>
      <c r="D25" s="157">
        <v>17291.069</v>
      </c>
      <c r="E25" s="158">
        <v>12538.1</v>
      </c>
      <c r="F25" s="157">
        <v>12739.3</v>
      </c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>
        <f>IF(C25="","",C25)</f>
        <v>108831</v>
      </c>
      <c r="D26" s="160">
        <f t="shared" ref="D26" si="6">IF(D25="","",D25)</f>
        <v>17291.069</v>
      </c>
      <c r="E26" s="161">
        <f>IF(E25="","",E25)</f>
        <v>12538.1</v>
      </c>
      <c r="F26" s="160">
        <f>IF(F25="","",F25)</f>
        <v>12739.3</v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>6B</v>
      </c>
      <c r="D28" s="25"/>
      <c r="E28" s="25"/>
      <c r="F28" s="37" t="s">
        <v>199</v>
      </c>
      <c r="G28" s="99">
        <f>IF(G15="","",G15)</f>
        <v>0.73799999999999999</v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>
        <v>70</v>
      </c>
      <c r="D29" s="35" t="str">
        <f>IF(D16="","",D16)</f>
        <v>°F</v>
      </c>
      <c r="E29" s="25"/>
      <c r="F29" s="37" t="s">
        <v>200</v>
      </c>
      <c r="G29" s="100">
        <f>IF(G16="","",G16)</f>
        <v>60.2</v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>
        <f>IF(OR(C12="",C25=""),"",C25-C12)</f>
        <v>551</v>
      </c>
      <c r="D36" s="133">
        <f>IF(OR(D12="",D25=""),"",D25-D12)</f>
        <v>8.102999999999156</v>
      </c>
      <c r="E36" s="133">
        <f>IF(OR(E12="",E25=""),"",E25-E12)</f>
        <v>5.8000000000010914</v>
      </c>
      <c r="F36" s="133">
        <f>IF(OR(F12="",F25=""),"",F25-F12)</f>
        <v>5.8999999999996362</v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>
        <f>IF(OR(C12="",C25=""),"",C36/C12*100)</f>
        <v>0.50886590321388991</v>
      </c>
      <c r="D37" s="134">
        <f t="shared" ref="D37" si="7">IF(OR(D12="",D25=""),"",D36/D12*100)</f>
        <v>4.6884313722535563E-2</v>
      </c>
      <c r="E37" s="134">
        <f>IF(OR(E12="",E25=""),"",E36/E12*100)</f>
        <v>4.6280411416907447E-2</v>
      </c>
      <c r="F37" s="134">
        <f>IF(OR(F12="",F25=""),"",F36/F12*100)</f>
        <v>4.6334835943264457E-2</v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F7" activePane="bottomRight" state="frozen"/>
      <selection activeCell="H12" sqref="H12"/>
      <selection pane="topRight" activeCell="H12" sqref="H12"/>
      <selection pane="bottomLeft" activeCell="H12" sqref="H12"/>
      <selection pane="bottomRight" activeCell="G16" sqref="G16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315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 t="s">
        <v>783</v>
      </c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702</v>
      </c>
      <c r="D7" s="260" t="s">
        <v>749</v>
      </c>
      <c r="E7" s="126" t="s">
        <v>723</v>
      </c>
      <c r="F7" s="263"/>
      <c r="G7" s="20" t="s">
        <v>763</v>
      </c>
      <c r="H7" s="20"/>
      <c r="I7" s="262" t="s">
        <v>740</v>
      </c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 t="s">
        <v>750</v>
      </c>
      <c r="E8" s="126" t="s">
        <v>724</v>
      </c>
      <c r="F8" s="261"/>
      <c r="G8" s="20" t="s">
        <v>764</v>
      </c>
      <c r="H8" s="20"/>
      <c r="I8" s="262" t="s">
        <v>741</v>
      </c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704</v>
      </c>
      <c r="D9" s="260" t="s">
        <v>750</v>
      </c>
      <c r="E9" s="126" t="s">
        <v>725</v>
      </c>
      <c r="F9" s="261"/>
      <c r="G9" s="20" t="s">
        <v>765</v>
      </c>
      <c r="H9" s="20"/>
      <c r="I9" s="262" t="s">
        <v>741</v>
      </c>
      <c r="J9" s="246" t="str">
        <f t="shared" si="16"/>
        <v/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705</v>
      </c>
      <c r="D10" s="260" t="s">
        <v>749</v>
      </c>
      <c r="E10" s="126" t="s">
        <v>723</v>
      </c>
      <c r="F10" s="263"/>
      <c r="G10" s="20" t="s">
        <v>766</v>
      </c>
      <c r="H10" s="20"/>
      <c r="I10" s="262" t="s">
        <v>740</v>
      </c>
      <c r="J10" s="246" t="str">
        <f t="shared" si="16"/>
        <v/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706</v>
      </c>
      <c r="D11" s="260" t="s">
        <v>751</v>
      </c>
      <c r="E11" s="126" t="s">
        <v>726</v>
      </c>
      <c r="F11" s="261" t="s">
        <v>768</v>
      </c>
      <c r="G11" s="20" t="s">
        <v>767</v>
      </c>
      <c r="H11" s="20"/>
      <c r="I11" s="19" t="s">
        <v>742</v>
      </c>
      <c r="J11" s="246" t="str">
        <f t="shared" si="16"/>
        <v/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707</v>
      </c>
      <c r="D12" s="260" t="s">
        <v>752</v>
      </c>
      <c r="E12" s="126" t="s">
        <v>727</v>
      </c>
      <c r="F12" s="261"/>
      <c r="G12" s="20" t="s">
        <v>769</v>
      </c>
      <c r="H12" s="20"/>
      <c r="I12" s="262" t="s">
        <v>743</v>
      </c>
      <c r="J12" s="246" t="str">
        <f t="shared" si="16"/>
        <v/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708</v>
      </c>
      <c r="D13" s="260" t="s">
        <v>753</v>
      </c>
      <c r="E13" s="126" t="s">
        <v>728</v>
      </c>
      <c r="F13" s="261"/>
      <c r="G13" s="20" t="s">
        <v>770</v>
      </c>
      <c r="H13" s="20"/>
      <c r="I13" s="262" t="s">
        <v>744</v>
      </c>
      <c r="J13" s="246" t="str">
        <f t="shared" si="16"/>
        <v/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709</v>
      </c>
      <c r="D14" s="260" t="s">
        <v>753</v>
      </c>
      <c r="E14" s="126" t="s">
        <v>729</v>
      </c>
      <c r="F14" s="261"/>
      <c r="G14" s="20" t="s">
        <v>771</v>
      </c>
      <c r="H14" s="20"/>
      <c r="I14" s="262" t="s">
        <v>744</v>
      </c>
      <c r="J14" s="246" t="str">
        <f t="shared" si="16"/>
        <v/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710</v>
      </c>
      <c r="D15" s="260" t="s">
        <v>753</v>
      </c>
      <c r="E15" s="126" t="s">
        <v>730</v>
      </c>
      <c r="F15" s="261"/>
      <c r="G15" s="20" t="s">
        <v>772</v>
      </c>
      <c r="H15" s="20"/>
      <c r="I15" s="262" t="s">
        <v>744</v>
      </c>
      <c r="J15" s="246" t="str">
        <f t="shared" si="16"/>
        <v/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711</v>
      </c>
      <c r="D16" s="260" t="s">
        <v>753</v>
      </c>
      <c r="E16" s="126" t="s">
        <v>731</v>
      </c>
      <c r="F16" s="261"/>
      <c r="G16" s="20" t="s">
        <v>773</v>
      </c>
      <c r="H16" s="20"/>
      <c r="I16" s="262" t="s">
        <v>744</v>
      </c>
      <c r="J16" s="246" t="str">
        <f t="shared" si="16"/>
        <v/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712</v>
      </c>
      <c r="D17" s="260" t="s">
        <v>753</v>
      </c>
      <c r="E17" s="126" t="s">
        <v>732</v>
      </c>
      <c r="F17" s="261"/>
      <c r="G17" s="20" t="s">
        <v>774</v>
      </c>
      <c r="H17" s="20"/>
      <c r="I17" s="262" t="s">
        <v>741</v>
      </c>
      <c r="J17" s="246" t="str">
        <f t="shared" si="16"/>
        <v/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713</v>
      </c>
      <c r="D18" s="260" t="s">
        <v>753</v>
      </c>
      <c r="E18" s="126" t="s">
        <v>725</v>
      </c>
      <c r="F18" s="261"/>
      <c r="G18" s="20" t="s">
        <v>775</v>
      </c>
      <c r="H18" s="20"/>
      <c r="I18" s="262" t="s">
        <v>741</v>
      </c>
      <c r="J18" s="246" t="str">
        <f t="shared" si="16"/>
        <v/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714</v>
      </c>
      <c r="D19" s="260" t="s">
        <v>754</v>
      </c>
      <c r="E19" s="126" t="s">
        <v>733</v>
      </c>
      <c r="F19" s="261"/>
      <c r="G19" s="20" t="s">
        <v>776</v>
      </c>
      <c r="H19" s="20"/>
      <c r="I19" s="262" t="s">
        <v>741</v>
      </c>
      <c r="J19" s="246" t="str">
        <f t="shared" si="16"/>
        <v/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715</v>
      </c>
      <c r="D20" s="260" t="s">
        <v>755</v>
      </c>
      <c r="E20" s="126" t="s">
        <v>734</v>
      </c>
      <c r="F20" s="261"/>
      <c r="G20" s="20" t="s">
        <v>775</v>
      </c>
      <c r="H20" s="20"/>
      <c r="I20" s="262" t="s">
        <v>745</v>
      </c>
      <c r="J20" s="246" t="str">
        <f t="shared" si="16"/>
        <v/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 t="s">
        <v>716</v>
      </c>
      <c r="D21" s="260" t="s">
        <v>755</v>
      </c>
      <c r="E21" s="126" t="s">
        <v>732</v>
      </c>
      <c r="F21" s="261"/>
      <c r="G21" s="20" t="s">
        <v>777</v>
      </c>
      <c r="H21" s="20"/>
      <c r="I21" s="262" t="s">
        <v>745</v>
      </c>
      <c r="J21" s="246" t="str">
        <f t="shared" si="16"/>
        <v/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 t="s">
        <v>717</v>
      </c>
      <c r="D22" s="260" t="s">
        <v>756</v>
      </c>
      <c r="E22" s="126" t="s">
        <v>735</v>
      </c>
      <c r="F22" s="261" t="s">
        <v>768</v>
      </c>
      <c r="G22" s="20" t="s">
        <v>778</v>
      </c>
      <c r="H22" s="20"/>
      <c r="I22" s="262" t="s">
        <v>746</v>
      </c>
      <c r="J22" s="246" t="str">
        <f t="shared" si="16"/>
        <v/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 t="s">
        <v>718</v>
      </c>
      <c r="D23" s="260" t="s">
        <v>757</v>
      </c>
      <c r="E23" s="126" t="s">
        <v>736</v>
      </c>
      <c r="F23" s="261"/>
      <c r="G23" s="20" t="s">
        <v>779</v>
      </c>
      <c r="H23" s="20"/>
      <c r="I23" s="262" t="s">
        <v>742</v>
      </c>
      <c r="J23" s="246" t="str">
        <f t="shared" si="16"/>
        <v/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 t="s">
        <v>719</v>
      </c>
      <c r="D24" s="260" t="s">
        <v>758</v>
      </c>
      <c r="E24" s="126" t="s">
        <v>725</v>
      </c>
      <c r="F24" s="261"/>
      <c r="G24" s="20" t="s">
        <v>765</v>
      </c>
      <c r="H24" s="20"/>
      <c r="I24" s="262" t="s">
        <v>741</v>
      </c>
      <c r="J24" s="246" t="str">
        <f t="shared" si="16"/>
        <v/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 t="s">
        <v>720</v>
      </c>
      <c r="D25" s="260" t="s">
        <v>759</v>
      </c>
      <c r="E25" s="126" t="s">
        <v>737</v>
      </c>
      <c r="F25" s="261"/>
      <c r="G25" s="20" t="s">
        <v>780</v>
      </c>
      <c r="H25" s="20"/>
      <c r="I25" s="262" t="s">
        <v>747</v>
      </c>
      <c r="J25" s="246" t="str">
        <f t="shared" si="16"/>
        <v/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 t="s">
        <v>721</v>
      </c>
      <c r="D26" s="260" t="s">
        <v>760</v>
      </c>
      <c r="E26" s="126" t="s">
        <v>738</v>
      </c>
      <c r="F26" s="261"/>
      <c r="G26" s="20" t="s">
        <v>781</v>
      </c>
      <c r="H26" s="20"/>
      <c r="I26" s="262" t="s">
        <v>748</v>
      </c>
      <c r="J26" s="246" t="str">
        <f t="shared" si="16"/>
        <v/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 t="s">
        <v>722</v>
      </c>
      <c r="D27" s="260" t="s">
        <v>761</v>
      </c>
      <c r="E27" s="126" t="s">
        <v>739</v>
      </c>
      <c r="F27" s="261"/>
      <c r="G27" s="20" t="s">
        <v>782</v>
      </c>
      <c r="H27" s="20" t="s">
        <v>762</v>
      </c>
      <c r="I27" s="262" t="s">
        <v>741</v>
      </c>
      <c r="J27" s="246" t="str">
        <f t="shared" si="16"/>
        <v/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3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9281CFA2-9FFB-4C89-A5AD-B6CC3224BA15}">
      <formula1>"* ,[OTHER] Visual"</formula1>
    </dataValidation>
    <dataValidation type="list" allowBlank="1" showInputMessage="1" showErrorMessage="1" sqref="D8" xr:uid="{4295E50D-3822-4505-B62A-D1346E49C096}">
      <formula1>"* ,[ASTM] D5443,[ASTM] D5580,[ASTM] D6839"</formula1>
    </dataValidation>
    <dataValidation type="list" allowBlank="1" showInputMessage="1" showErrorMessage="1" sqref="D9" xr:uid="{1B4D43EB-243D-423F-B6C6-FC1C947B38A7}">
      <formula1>"* ,[ASTM] D6839,[ASTM] D5443,[ASTM] D5580,[ASTM] D3606"</formula1>
    </dataValidation>
    <dataValidation type="list" allowBlank="1" showInputMessage="1" showErrorMessage="1" sqref="D11" xr:uid="{648474C4-9432-4836-9965-868FA3A2ADCF}">
      <formula1>"* ,[ASTM] D130"</formula1>
    </dataValidation>
    <dataValidation type="list" allowBlank="1" showInputMessage="1" showErrorMessage="1" sqref="D12" xr:uid="{F799B9FE-9968-415D-A665-1A7D70156381}">
      <formula1>"* ,[ASTM] D4052,[ASTM] D1298"</formula1>
    </dataValidation>
    <dataValidation type="list" allowBlank="1" showInputMessage="1" showErrorMessage="1" sqref="D13 D14 D15 D16 D17 D18" xr:uid="{854FE348-A0B5-42D4-9621-CE9436167946}">
      <formula1>"* ,[ASTM] D86"</formula1>
    </dataValidation>
    <dataValidation type="list" allowBlank="1" showInputMessage="1" showErrorMessage="1" sqref="D19" xr:uid="{9D6C7C51-79A1-4467-A667-129BC355033B}">
      <formula1>"* ,[ASTM] D4815-04"</formula1>
    </dataValidation>
    <dataValidation type="list" allowBlank="1" showInputMessage="1" showErrorMessage="1" sqref="D20 D21" xr:uid="{042859B2-F2EA-40E3-B886-2EAADB6EE460}">
      <formula1>"* ,[ASTM] D381"</formula1>
    </dataValidation>
    <dataValidation type="list" allowBlank="1" showInputMessage="1" showErrorMessage="1" sqref="D22" xr:uid="{5DD8DA61-E7D5-4102-9AAB-8A463652EE92}">
      <formula1>"* ,[ASTM] D3348,[ASTM] D5059,[ASTM] D3237"</formula1>
    </dataValidation>
    <dataValidation type="list" allowBlank="1" showInputMessage="1" showErrorMessage="1" sqref="D23" xr:uid="{A20E8D93-1551-44A2-83C0-D158BE39163E}">
      <formula1>"* ,[ASTM] D2699"</formula1>
    </dataValidation>
    <dataValidation type="list" allowBlank="1" showInputMessage="1" showErrorMessage="1" sqref="D24" xr:uid="{BC2F04B9-3AA1-4E4D-9A29-1390B9F5250D}">
      <formula1>"* ,[ASTM] D4815"</formula1>
    </dataValidation>
    <dataValidation type="list" allowBlank="1" showInputMessage="1" showErrorMessage="1" sqref="D25" xr:uid="{B3E50C10-F2DC-438D-8827-DB0F7F99F74A}">
      <formula1>"* ,[ASTM] D2622,[ASTM] D4294,[ASTM] D5453,[ASTM] D1266"</formula1>
    </dataValidation>
    <dataValidation type="list" allowBlank="1" showInputMessage="1" showErrorMessage="1" sqref="D26" xr:uid="{5090852E-1858-4E4E-A185-1CD1A0117788}">
      <formula1>"* ,[ASTM] D5191 (ASTM),[ASTM] D4953,[ASTM] D5482"</formula1>
    </dataValidation>
    <dataValidation type="list" allowBlank="1" showInputMessage="1" showErrorMessage="1" sqref="D27" xr:uid="{864E7F56-A146-49A1-B340-379844373857}">
      <formula1>"* ,[ASTM] E203"</formula1>
    </dataValidation>
    <dataValidation type="list" allowBlank="1" showInputMessage="1" showErrorMessage="1" sqref="I7" xr:uid="{75F422D3-F54A-46F0-ABA1-8FA1B4CB00D8}">
      <formula1>"pass/fail,visual"</formula1>
    </dataValidation>
    <dataValidation type="list" allowBlank="1" showInputMessage="1" showErrorMessage="1" sqref="I8" xr:uid="{5A1C1B07-37B7-4FD1-BFC2-227EECFDAB07}">
      <formula1>"ppm,%liq vol,%m/m,%mole,%vol"</formula1>
    </dataValidation>
    <dataValidation type="list" allowBlank="1" showInputMessage="1" showErrorMessage="1" sqref="I9" xr:uid="{8834E51C-5F82-446B-BB12-DB1E8001D3DB}">
      <formula1>"mg/kg,ppm v/v,ppm w/w,%wt,%vol"</formula1>
    </dataValidation>
    <dataValidation type="list" allowBlank="1" showInputMessage="1" showErrorMessage="1" sqref="I10" xr:uid="{F4C20736-4E85-47DB-BBEB-F2A43BE005EA}">
      <formula1>"haze no,Pt/Co scale,pass/fail,rating,visual"</formula1>
    </dataValidation>
    <dataValidation type="list" allowBlank="1" showInputMessage="1" showErrorMessage="1" sqref="I11" xr:uid="{53E4E45F-1C80-4009-9245-5B118ACDECE8}">
      <formula1>"rating"</formula1>
    </dataValidation>
    <dataValidation type="list" allowBlank="1" showInputMessage="1" showErrorMessage="1" sqref="I12" xr:uid="{F0A4CA82-84A9-4C34-A67C-A32C699A8243}">
      <formula1>"g/ cc,g/l,g/cm³,g/ml,kg/m³,kg/l,n/a,tonne/m³"</formula1>
    </dataValidation>
    <dataValidation type="list" allowBlank="1" showInputMessage="1" showErrorMessage="1" sqref="I13 I14 I15 I16 I17 I18" xr:uid="{0098D54E-8A2F-41CE-B311-21AB4944CFF3}">
      <formula1>"°C,°F,%,%vol"</formula1>
    </dataValidation>
    <dataValidation type="list" allowBlank="1" showInputMessage="1" showErrorMessage="1" sqref="I19" xr:uid="{FA387C93-FC2B-4AD8-BA40-98981653CE78}">
      <formula1>"ppm,%vol"</formula1>
    </dataValidation>
    <dataValidation type="list" allowBlank="1" showInputMessage="1" showErrorMessage="1" sqref="I20 I21" xr:uid="{BF8ED521-C64D-4A41-B328-69634D0B0921}">
      <formula1>"g/m³,mg/100ml,mg/l"</formula1>
    </dataValidation>
    <dataValidation type="list" allowBlank="1" showInputMessage="1" showErrorMessage="1" sqref="I22" xr:uid="{72997532-8043-4C16-8F36-9976227ECE08}">
      <formula1>"g Pb/l,g Pb/US gal,g/US gal,mg/kg,mg/l,ppb,ppm,ppm w/w,%vol"</formula1>
    </dataValidation>
    <dataValidation type="list" allowBlank="1" showInputMessage="1" showErrorMessage="1" sqref="I23" xr:uid="{BB3EBE6D-2008-4AC7-9924-7151B1138B76}">
      <formula1>"mg/kg,mg/l,ppm,ppm w/w,%wt,rating"</formula1>
    </dataValidation>
    <dataValidation type="list" allowBlank="1" showInputMessage="1" showErrorMessage="1" sqref="I24" xr:uid="{5B7AAF35-468C-48EB-ACA9-060E21EAF89D}">
      <formula1>"mg/100ml,mg/kg,ppm,ppm v/v,%m/m,%mole,%wt,%vol"</formula1>
    </dataValidation>
    <dataValidation type="list" allowBlank="1" showInputMessage="1" showErrorMessage="1" sqref="I25" xr:uid="{9CEE5BFC-1CB0-430C-9C36-F12B954648AE}">
      <formula1>"μg/g,mg/kg,mg/l,ppm,%m,%m/m,%wt"</formula1>
    </dataValidation>
    <dataValidation type="list" allowBlank="1" showInputMessage="1" showErrorMessage="1" sqref="I26" xr:uid="{9F94599C-177D-4030-B748-EB45CCCFB142}">
      <formula1>"kg/cm²,kPa,mm Hg,psi"</formula1>
    </dataValidation>
    <dataValidation type="list" allowBlank="1" showInputMessage="1" showErrorMessage="1" sqref="I27" xr:uid="{F002535E-280C-413C-9D43-9779528F1A34}">
      <formula1>"mg/kg,ppm,%wt,%vol"</formula1>
    </dataValidation>
    <dataValidation type="list" allowBlank="1" showInputMessage="1" showErrorMessage="1" sqref="F8 F9 F11 F12 F13 F14 F15 F16 F17 F18 F19 F20 F21 F22 F23 F24 F25 F26 F27" xr:uid="{8A9D556F-EED8-40C7-A23B-109C8419C8CF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45241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2023-11-11T07:05:12Z</dcterms:modified>
</cp:coreProperties>
</file>