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현재_통합_문서" defaultThemeVersion="166925"/>
  <mc:AlternateContent xmlns:mc="http://schemas.openxmlformats.org/markup-compatibility/2006">
    <mc:Choice Requires="x15">
      <x15ac:absPath xmlns:x15ac="http://schemas.microsoft.com/office/spreadsheetml/2010/11/ac" url="C:\Users\kai_kim\Desktop\NAVARIK\NAVARIK 작업\20231109_Chevron (23C767581-03) IKIGAI_GASOLINE 91R_50KB_YOSU (Y)\"/>
    </mc:Choice>
  </mc:AlternateContent>
  <xr:revisionPtr revIDLastSave="0" documentId="13_ncr:1_{F188EC43-EC32-4FC5-B2D2-FFCE0009FD38}" xr6:coauthVersionLast="47" xr6:coauthVersionMax="47" xr10:uidLastSave="{00000000-0000-0000-0000-000000000000}"/>
  <bookViews>
    <workbookView xWindow="10380" yWindow="492" windowWidth="12636" windowHeight="11880" activeTab="2" xr2:uid="{D5438E65-0C1A-43C8-87E4-52658D7A1A13}"/>
  </bookViews>
  <sheets>
    <sheet name="Navarik 설정" sheetId="36" r:id="rId1"/>
    <sheet name="Time" sheetId="4" state="hidden" r:id="rId2"/>
    <sheet name="Quantity" sheetId="1" r:id="rId3"/>
    <sheet name="Quality SET 1" sheetId="2" r:id="rId4"/>
    <sheet name="SET 2" sheetId="155" r:id="rId5"/>
    <sheet name="SET 3" sheetId="156" r:id="rId6"/>
    <sheet name="SET 4" sheetId="157" r:id="rId7"/>
    <sheet name="SET 5" sheetId="158" r:id="rId8"/>
    <sheet name="SET 6" sheetId="159" r:id="rId9"/>
    <sheet name="SET 7" sheetId="160" r:id="rId10"/>
    <sheet name="SET 8" sheetId="161" r:id="rId11"/>
    <sheet name="SET 9" sheetId="162" r:id="rId12"/>
    <sheet name="SET 10" sheetId="163"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W82" i="163" l="1"/>
  <c r="BS82" i="163"/>
  <c r="BO82" i="163"/>
  <c r="BK82" i="163"/>
  <c r="BG82" i="163"/>
  <c r="BC82" i="163"/>
  <c r="AY82" i="163"/>
  <c r="AU82" i="163"/>
  <c r="AQ82" i="163"/>
  <c r="AM82" i="163"/>
  <c r="AI82" i="163"/>
  <c r="AE82" i="163"/>
  <c r="AA82" i="163"/>
  <c r="W82" i="163"/>
  <c r="S82" i="163"/>
  <c r="O82" i="163"/>
  <c r="J82" i="163"/>
  <c r="BW81" i="163"/>
  <c r="BS81" i="163"/>
  <c r="BO81" i="163"/>
  <c r="BK81" i="163"/>
  <c r="BG81" i="163"/>
  <c r="BC81" i="163"/>
  <c r="AY81" i="163"/>
  <c r="AU81" i="163"/>
  <c r="AQ81" i="163"/>
  <c r="AM81" i="163"/>
  <c r="AI81" i="163"/>
  <c r="AE81" i="163"/>
  <c r="AA81" i="163"/>
  <c r="W81" i="163"/>
  <c r="S81" i="163"/>
  <c r="O81" i="163"/>
  <c r="J81" i="163"/>
  <c r="BW80" i="163"/>
  <c r="BS80" i="163"/>
  <c r="BO80" i="163"/>
  <c r="BK80" i="163"/>
  <c r="BG80" i="163"/>
  <c r="BC80" i="163"/>
  <c r="AY80" i="163"/>
  <c r="AU80" i="163"/>
  <c r="AQ80" i="163"/>
  <c r="AM80" i="163"/>
  <c r="AI80" i="163"/>
  <c r="AE80" i="163"/>
  <c r="AA80" i="163"/>
  <c r="W80" i="163"/>
  <c r="S80" i="163"/>
  <c r="O80" i="163"/>
  <c r="J80" i="163"/>
  <c r="BW79" i="163"/>
  <c r="BS79" i="163"/>
  <c r="BO79" i="163"/>
  <c r="BK79" i="163"/>
  <c r="BG79" i="163"/>
  <c r="BC79" i="163"/>
  <c r="AY79" i="163"/>
  <c r="AU79" i="163"/>
  <c r="AQ79" i="163"/>
  <c r="AM79" i="163"/>
  <c r="AI79" i="163"/>
  <c r="AE79" i="163"/>
  <c r="AA79" i="163"/>
  <c r="W79" i="163"/>
  <c r="S79" i="163"/>
  <c r="O79" i="163"/>
  <c r="J79" i="163"/>
  <c r="BW78" i="163"/>
  <c r="BS78" i="163"/>
  <c r="BO78" i="163"/>
  <c r="BK78" i="163"/>
  <c r="BG78" i="163"/>
  <c r="BC78" i="163"/>
  <c r="AY78" i="163"/>
  <c r="AU78" i="163"/>
  <c r="AQ78" i="163"/>
  <c r="AM78" i="163"/>
  <c r="AI78" i="163"/>
  <c r="AE78" i="163"/>
  <c r="AA78" i="163"/>
  <c r="W78" i="163"/>
  <c r="S78" i="163"/>
  <c r="O78" i="163"/>
  <c r="J78" i="163"/>
  <c r="BW77" i="163"/>
  <c r="BS77" i="163"/>
  <c r="BO77" i="163"/>
  <c r="BK77" i="163"/>
  <c r="BG77" i="163"/>
  <c r="BC77" i="163"/>
  <c r="AY77" i="163"/>
  <c r="AU77" i="163"/>
  <c r="AQ77" i="163"/>
  <c r="AM77" i="163"/>
  <c r="AI77" i="163"/>
  <c r="AE77" i="163"/>
  <c r="AA77" i="163"/>
  <c r="W77" i="163"/>
  <c r="S77" i="163"/>
  <c r="O77" i="163"/>
  <c r="J77" i="163"/>
  <c r="BW76" i="163"/>
  <c r="BS76" i="163"/>
  <c r="BO76" i="163"/>
  <c r="BK76" i="163"/>
  <c r="BG76" i="163"/>
  <c r="BC76" i="163"/>
  <c r="AY76" i="163"/>
  <c r="AU76" i="163"/>
  <c r="AQ76" i="163"/>
  <c r="AM76" i="163"/>
  <c r="AI76" i="163"/>
  <c r="AE76" i="163"/>
  <c r="AA76" i="163"/>
  <c r="W76" i="163"/>
  <c r="S76" i="163"/>
  <c r="O76" i="163"/>
  <c r="J76" i="163"/>
  <c r="BW75" i="163"/>
  <c r="BS75" i="163"/>
  <c r="BO75" i="163"/>
  <c r="BK75" i="163"/>
  <c r="BG75" i="163"/>
  <c r="BC75" i="163"/>
  <c r="AY75" i="163"/>
  <c r="AU75" i="163"/>
  <c r="AQ75" i="163"/>
  <c r="AM75" i="163"/>
  <c r="AI75" i="163"/>
  <c r="AE75" i="163"/>
  <c r="AA75" i="163"/>
  <c r="W75" i="163"/>
  <c r="S75" i="163"/>
  <c r="O75" i="163"/>
  <c r="J75" i="163"/>
  <c r="BW74" i="163"/>
  <c r="BS74" i="163"/>
  <c r="BO74" i="163"/>
  <c r="BK74" i="163"/>
  <c r="BG74" i="163"/>
  <c r="BC74" i="163"/>
  <c r="AY74" i="163"/>
  <c r="AU74" i="163"/>
  <c r="AQ74" i="163"/>
  <c r="AM74" i="163"/>
  <c r="AI74" i="163"/>
  <c r="AE74" i="163"/>
  <c r="AA74" i="163"/>
  <c r="W74" i="163"/>
  <c r="S74" i="163"/>
  <c r="O74" i="163"/>
  <c r="J74" i="163"/>
  <c r="BW73" i="163"/>
  <c r="BS73" i="163"/>
  <c r="BO73" i="163"/>
  <c r="BK73" i="163"/>
  <c r="BG73" i="163"/>
  <c r="BC73" i="163"/>
  <c r="AY73" i="163"/>
  <c r="AU73" i="163"/>
  <c r="AQ73" i="163"/>
  <c r="AM73" i="163"/>
  <c r="AI73" i="163"/>
  <c r="AE73" i="163"/>
  <c r="AA73" i="163"/>
  <c r="W73" i="163"/>
  <c r="S73" i="163"/>
  <c r="O73" i="163"/>
  <c r="J73" i="163"/>
  <c r="BW72" i="163"/>
  <c r="BS72" i="163"/>
  <c r="BO72" i="163"/>
  <c r="BK72" i="163"/>
  <c r="BG72" i="163"/>
  <c r="BC72" i="163"/>
  <c r="AY72" i="163"/>
  <c r="AU72" i="163"/>
  <c r="AQ72" i="163"/>
  <c r="AM72" i="163"/>
  <c r="AI72" i="163"/>
  <c r="AE72" i="163"/>
  <c r="AA72" i="163"/>
  <c r="W72" i="163"/>
  <c r="S72" i="163"/>
  <c r="O72" i="163"/>
  <c r="J72" i="163"/>
  <c r="BW71" i="163"/>
  <c r="BS71" i="163"/>
  <c r="BO71" i="163"/>
  <c r="BK71" i="163"/>
  <c r="BG71" i="163"/>
  <c r="BC71" i="163"/>
  <c r="AY71" i="163"/>
  <c r="AU71" i="163"/>
  <c r="AQ71" i="163"/>
  <c r="AM71" i="163"/>
  <c r="AI71" i="163"/>
  <c r="AE71" i="163"/>
  <c r="AA71" i="163"/>
  <c r="W71" i="163"/>
  <c r="S71" i="163"/>
  <c r="O71" i="163"/>
  <c r="J71" i="163"/>
  <c r="BW70" i="163"/>
  <c r="BS70" i="163"/>
  <c r="BO70" i="163"/>
  <c r="BK70" i="163"/>
  <c r="BG70" i="163"/>
  <c r="BC70" i="163"/>
  <c r="AY70" i="163"/>
  <c r="AU70" i="163"/>
  <c r="AQ70" i="163"/>
  <c r="AM70" i="163"/>
  <c r="AI70" i="163"/>
  <c r="AE70" i="163"/>
  <c r="AA70" i="163"/>
  <c r="W70" i="163"/>
  <c r="S70" i="163"/>
  <c r="O70" i="163"/>
  <c r="J70" i="163"/>
  <c r="BW69" i="163"/>
  <c r="BS69" i="163"/>
  <c r="BO69" i="163"/>
  <c r="BK69" i="163"/>
  <c r="BG69" i="163"/>
  <c r="BC69" i="163"/>
  <c r="AY69" i="163"/>
  <c r="AU69" i="163"/>
  <c r="AQ69" i="163"/>
  <c r="AM69" i="163"/>
  <c r="AI69" i="163"/>
  <c r="AE69" i="163"/>
  <c r="AA69" i="163"/>
  <c r="W69" i="163"/>
  <c r="S69" i="163"/>
  <c r="O69" i="163"/>
  <c r="J69" i="163"/>
  <c r="BW68" i="163"/>
  <c r="BS68" i="163"/>
  <c r="BO68" i="163"/>
  <c r="BK68" i="163"/>
  <c r="BG68" i="163"/>
  <c r="BC68" i="163"/>
  <c r="AY68" i="163"/>
  <c r="AU68" i="163"/>
  <c r="AQ68" i="163"/>
  <c r="AM68" i="163"/>
  <c r="AI68" i="163"/>
  <c r="AE68" i="163"/>
  <c r="AA68" i="163"/>
  <c r="W68" i="163"/>
  <c r="S68" i="163"/>
  <c r="O68" i="163"/>
  <c r="J68" i="163"/>
  <c r="BW67" i="163"/>
  <c r="BS67" i="163"/>
  <c r="BO67" i="163"/>
  <c r="BK67" i="163"/>
  <c r="BG67" i="163"/>
  <c r="BC67" i="163"/>
  <c r="AY67" i="163"/>
  <c r="AU67" i="163"/>
  <c r="AQ67" i="163"/>
  <c r="AM67" i="163"/>
  <c r="AI67" i="163"/>
  <c r="AE67" i="163"/>
  <c r="AA67" i="163"/>
  <c r="W67" i="163"/>
  <c r="S67" i="163"/>
  <c r="O67" i="163"/>
  <c r="J67" i="163"/>
  <c r="BW66" i="163"/>
  <c r="BS66" i="163"/>
  <c r="BO66" i="163"/>
  <c r="BK66" i="163"/>
  <c r="BG66" i="163"/>
  <c r="BC66" i="163"/>
  <c r="AY66" i="163"/>
  <c r="AU66" i="163"/>
  <c r="AQ66" i="163"/>
  <c r="AM66" i="163"/>
  <c r="AI66" i="163"/>
  <c r="AE66" i="163"/>
  <c r="AA66" i="163"/>
  <c r="W66" i="163"/>
  <c r="S66" i="163"/>
  <c r="O66" i="163"/>
  <c r="J66" i="163"/>
  <c r="BW65" i="163"/>
  <c r="BS65" i="163"/>
  <c r="BO65" i="163"/>
  <c r="BK65" i="163"/>
  <c r="BG65" i="163"/>
  <c r="BC65" i="163"/>
  <c r="AY65" i="163"/>
  <c r="AU65" i="163"/>
  <c r="AQ65" i="163"/>
  <c r="AM65" i="163"/>
  <c r="AI65" i="163"/>
  <c r="AE65" i="163"/>
  <c r="AA65" i="163"/>
  <c r="W65" i="163"/>
  <c r="S65" i="163"/>
  <c r="O65" i="163"/>
  <c r="J65" i="163"/>
  <c r="BW64" i="163"/>
  <c r="BS64" i="163"/>
  <c r="BO64" i="163"/>
  <c r="BK64" i="163"/>
  <c r="BG64" i="163"/>
  <c r="BC64" i="163"/>
  <c r="AY64" i="163"/>
  <c r="AU64" i="163"/>
  <c r="AQ64" i="163"/>
  <c r="AM64" i="163"/>
  <c r="AI64" i="163"/>
  <c r="AE64" i="163"/>
  <c r="AA64" i="163"/>
  <c r="W64" i="163"/>
  <c r="S64" i="163"/>
  <c r="O64" i="163"/>
  <c r="J64" i="163"/>
  <c r="BW63" i="163"/>
  <c r="BS63" i="163"/>
  <c r="BO63" i="163"/>
  <c r="BK63" i="163"/>
  <c r="BG63" i="163"/>
  <c r="BC63" i="163"/>
  <c r="AY63" i="163"/>
  <c r="AU63" i="163"/>
  <c r="AQ63" i="163"/>
  <c r="AM63" i="163"/>
  <c r="AI63" i="163"/>
  <c r="AE63" i="163"/>
  <c r="AA63" i="163"/>
  <c r="W63" i="163"/>
  <c r="S63" i="163"/>
  <c r="O63" i="163"/>
  <c r="J63" i="163"/>
  <c r="BW62" i="163"/>
  <c r="BS62" i="163"/>
  <c r="BO62" i="163"/>
  <c r="BK62" i="163"/>
  <c r="BG62" i="163"/>
  <c r="BC62" i="163"/>
  <c r="AY62" i="163"/>
  <c r="AU62" i="163"/>
  <c r="AQ62" i="163"/>
  <c r="AM62" i="163"/>
  <c r="AI62" i="163"/>
  <c r="AE62" i="163"/>
  <c r="AA62" i="163"/>
  <c r="W62" i="163"/>
  <c r="S62" i="163"/>
  <c r="O62" i="163"/>
  <c r="J62" i="163"/>
  <c r="BW61" i="163"/>
  <c r="BS61" i="163"/>
  <c r="BO61" i="163"/>
  <c r="BK61" i="163"/>
  <c r="BG61" i="163"/>
  <c r="BC61" i="163"/>
  <c r="AY61" i="163"/>
  <c r="AU61" i="163"/>
  <c r="AQ61" i="163"/>
  <c r="AM61" i="163"/>
  <c r="AI61" i="163"/>
  <c r="AE61" i="163"/>
  <c r="AA61" i="163"/>
  <c r="W61" i="163"/>
  <c r="S61" i="163"/>
  <c r="O61" i="163"/>
  <c r="J61" i="163"/>
  <c r="BW60" i="163"/>
  <c r="BS60" i="163"/>
  <c r="BO60" i="163"/>
  <c r="BK60" i="163"/>
  <c r="BG60" i="163"/>
  <c r="BC60" i="163"/>
  <c r="AY60" i="163"/>
  <c r="AU60" i="163"/>
  <c r="AQ60" i="163"/>
  <c r="AM60" i="163"/>
  <c r="AI60" i="163"/>
  <c r="AE60" i="163"/>
  <c r="AA60" i="163"/>
  <c r="W60" i="163"/>
  <c r="S60" i="163"/>
  <c r="O60" i="163"/>
  <c r="J60" i="163"/>
  <c r="BW59" i="163"/>
  <c r="BS59" i="163"/>
  <c r="BO59" i="163"/>
  <c r="BK59" i="163"/>
  <c r="BG59" i="163"/>
  <c r="BC59" i="163"/>
  <c r="AY59" i="163"/>
  <c r="AU59" i="163"/>
  <c r="AQ59" i="163"/>
  <c r="AM59" i="163"/>
  <c r="AI59" i="163"/>
  <c r="AE59" i="163"/>
  <c r="AA59" i="163"/>
  <c r="W59" i="163"/>
  <c r="S59" i="163"/>
  <c r="O59" i="163"/>
  <c r="J59" i="163"/>
  <c r="BW58" i="163"/>
  <c r="BS58" i="163"/>
  <c r="BO58" i="163"/>
  <c r="BK58" i="163"/>
  <c r="BG58" i="163"/>
  <c r="BC58" i="163"/>
  <c r="AY58" i="163"/>
  <c r="AU58" i="163"/>
  <c r="AQ58" i="163"/>
  <c r="AM58" i="163"/>
  <c r="AI58" i="163"/>
  <c r="AE58" i="163"/>
  <c r="AA58" i="163"/>
  <c r="W58" i="163"/>
  <c r="S58" i="163"/>
  <c r="O58" i="163"/>
  <c r="J58" i="163"/>
  <c r="BW57" i="163"/>
  <c r="BS57" i="163"/>
  <c r="BO57" i="163"/>
  <c r="BK57" i="163"/>
  <c r="BG57" i="163"/>
  <c r="BC57" i="163"/>
  <c r="AY57" i="163"/>
  <c r="AU57" i="163"/>
  <c r="AQ57" i="163"/>
  <c r="AM57" i="163"/>
  <c r="AI57" i="163"/>
  <c r="AE57" i="163"/>
  <c r="AA57" i="163"/>
  <c r="W57" i="163"/>
  <c r="S57" i="163"/>
  <c r="O57" i="163"/>
  <c r="J57" i="163"/>
  <c r="BW56" i="163"/>
  <c r="BS56" i="163"/>
  <c r="BO56" i="163"/>
  <c r="BK56" i="163"/>
  <c r="BG56" i="163"/>
  <c r="BC56" i="163"/>
  <c r="AY56" i="163"/>
  <c r="AU56" i="163"/>
  <c r="AQ56" i="163"/>
  <c r="AM56" i="163"/>
  <c r="AI56" i="163"/>
  <c r="AE56" i="163"/>
  <c r="AA56" i="163"/>
  <c r="W56" i="163"/>
  <c r="S56" i="163"/>
  <c r="O56" i="163"/>
  <c r="J56" i="163"/>
  <c r="BW55" i="163"/>
  <c r="BS55" i="163"/>
  <c r="BO55" i="163"/>
  <c r="BK55" i="163"/>
  <c r="BG55" i="163"/>
  <c r="BC55" i="163"/>
  <c r="AY55" i="163"/>
  <c r="AU55" i="163"/>
  <c r="AQ55" i="163"/>
  <c r="AM55" i="163"/>
  <c r="AI55" i="163"/>
  <c r="AE55" i="163"/>
  <c r="AA55" i="163"/>
  <c r="W55" i="163"/>
  <c r="S55" i="163"/>
  <c r="O55" i="163"/>
  <c r="J55" i="163"/>
  <c r="BW54" i="163"/>
  <c r="BS54" i="163"/>
  <c r="BO54" i="163"/>
  <c r="BK54" i="163"/>
  <c r="BG54" i="163"/>
  <c r="BC54" i="163"/>
  <c r="AY54" i="163"/>
  <c r="AU54" i="163"/>
  <c r="AQ54" i="163"/>
  <c r="AM54" i="163"/>
  <c r="AI54" i="163"/>
  <c r="AE54" i="163"/>
  <c r="AA54" i="163"/>
  <c r="W54" i="163"/>
  <c r="S54" i="163"/>
  <c r="O54" i="163"/>
  <c r="J54" i="163"/>
  <c r="BW53" i="163"/>
  <c r="BS53" i="163"/>
  <c r="BO53" i="163"/>
  <c r="BK53" i="163"/>
  <c r="BG53" i="163"/>
  <c r="BC53" i="163"/>
  <c r="AY53" i="163"/>
  <c r="AU53" i="163"/>
  <c r="AQ53" i="163"/>
  <c r="AM53" i="163"/>
  <c r="AI53" i="163"/>
  <c r="AE53" i="163"/>
  <c r="AA53" i="163"/>
  <c r="W53" i="163"/>
  <c r="S53" i="163"/>
  <c r="O53" i="163"/>
  <c r="J53" i="163"/>
  <c r="BW52" i="163"/>
  <c r="BS52" i="163"/>
  <c r="BO52" i="163"/>
  <c r="BK52" i="163"/>
  <c r="BG52" i="163"/>
  <c r="BC52" i="163"/>
  <c r="AY52" i="163"/>
  <c r="AU52" i="163"/>
  <c r="AQ52" i="163"/>
  <c r="AM52" i="163"/>
  <c r="AI52" i="163"/>
  <c r="AE52" i="163"/>
  <c r="AA52" i="163"/>
  <c r="W52" i="163"/>
  <c r="S52" i="163"/>
  <c r="O52" i="163"/>
  <c r="J52" i="163"/>
  <c r="BW51" i="163"/>
  <c r="BS51" i="163"/>
  <c r="BO51" i="163"/>
  <c r="BK51" i="163"/>
  <c r="BG51" i="163"/>
  <c r="BC51" i="163"/>
  <c r="AY51" i="163"/>
  <c r="AU51" i="163"/>
  <c r="AQ51" i="163"/>
  <c r="AM51" i="163"/>
  <c r="AI51" i="163"/>
  <c r="AE51" i="163"/>
  <c r="AA51" i="163"/>
  <c r="W51" i="163"/>
  <c r="S51" i="163"/>
  <c r="O51" i="163"/>
  <c r="J51" i="163"/>
  <c r="BW50" i="163"/>
  <c r="BS50" i="163"/>
  <c r="BO50" i="163"/>
  <c r="BK50" i="163"/>
  <c r="BG50" i="163"/>
  <c r="BC50" i="163"/>
  <c r="AY50" i="163"/>
  <c r="AU50" i="163"/>
  <c r="AQ50" i="163"/>
  <c r="AM50" i="163"/>
  <c r="AI50" i="163"/>
  <c r="AE50" i="163"/>
  <c r="AA50" i="163"/>
  <c r="W50" i="163"/>
  <c r="S50" i="163"/>
  <c r="O50" i="163"/>
  <c r="J50" i="163"/>
  <c r="BW49" i="163"/>
  <c r="BS49" i="163"/>
  <c r="BO49" i="163"/>
  <c r="BK49" i="163"/>
  <c r="BG49" i="163"/>
  <c r="BC49" i="163"/>
  <c r="AY49" i="163"/>
  <c r="AU49" i="163"/>
  <c r="AQ49" i="163"/>
  <c r="AM49" i="163"/>
  <c r="AI49" i="163"/>
  <c r="AE49" i="163"/>
  <c r="AA49" i="163"/>
  <c r="W49" i="163"/>
  <c r="S49" i="163"/>
  <c r="O49" i="163"/>
  <c r="J49" i="163"/>
  <c r="BW48" i="163"/>
  <c r="BS48" i="163"/>
  <c r="BO48" i="163"/>
  <c r="BK48" i="163"/>
  <c r="BG48" i="163"/>
  <c r="BC48" i="163"/>
  <c r="AY48" i="163"/>
  <c r="AU48" i="163"/>
  <c r="AQ48" i="163"/>
  <c r="AM48" i="163"/>
  <c r="AI48" i="163"/>
  <c r="AE48" i="163"/>
  <c r="AA48" i="163"/>
  <c r="W48" i="163"/>
  <c r="S48" i="163"/>
  <c r="O48" i="163"/>
  <c r="J48" i="163"/>
  <c r="BW47" i="163"/>
  <c r="BS47" i="163"/>
  <c r="BO47" i="163"/>
  <c r="BK47" i="163"/>
  <c r="BG47" i="163"/>
  <c r="BC47" i="163"/>
  <c r="AY47" i="163"/>
  <c r="AU47" i="163"/>
  <c r="AQ47" i="163"/>
  <c r="AM47" i="163"/>
  <c r="AI47" i="163"/>
  <c r="AE47" i="163"/>
  <c r="AA47" i="163"/>
  <c r="W47" i="163"/>
  <c r="S47" i="163"/>
  <c r="O47" i="163"/>
  <c r="J47" i="163"/>
  <c r="BW46" i="163"/>
  <c r="BS46" i="163"/>
  <c r="BO46" i="163"/>
  <c r="BK46" i="163"/>
  <c r="BG46" i="163"/>
  <c r="BC46" i="163"/>
  <c r="AY46" i="163"/>
  <c r="AU46" i="163"/>
  <c r="AQ46" i="163"/>
  <c r="AM46" i="163"/>
  <c r="AI46" i="163"/>
  <c r="AE46" i="163"/>
  <c r="AA46" i="163"/>
  <c r="W46" i="163"/>
  <c r="S46" i="163"/>
  <c r="O46" i="163"/>
  <c r="J46" i="163"/>
  <c r="BW45" i="163"/>
  <c r="BS45" i="163"/>
  <c r="BO45" i="163"/>
  <c r="BK45" i="163"/>
  <c r="BG45" i="163"/>
  <c r="BC45" i="163"/>
  <c r="AY45" i="163"/>
  <c r="AU45" i="163"/>
  <c r="AQ45" i="163"/>
  <c r="AM45" i="163"/>
  <c r="AI45" i="163"/>
  <c r="AE45" i="163"/>
  <c r="AA45" i="163"/>
  <c r="W45" i="163"/>
  <c r="S45" i="163"/>
  <c r="O45" i="163"/>
  <c r="J45" i="163"/>
  <c r="BW44" i="163"/>
  <c r="BS44" i="163"/>
  <c r="BO44" i="163"/>
  <c r="BK44" i="163"/>
  <c r="BG44" i="163"/>
  <c r="BC44" i="163"/>
  <c r="AY44" i="163"/>
  <c r="AU44" i="163"/>
  <c r="AQ44" i="163"/>
  <c r="AM44" i="163"/>
  <c r="AI44" i="163"/>
  <c r="AE44" i="163"/>
  <c r="AA44" i="163"/>
  <c r="W44" i="163"/>
  <c r="S44" i="163"/>
  <c r="O44" i="163"/>
  <c r="J44" i="163"/>
  <c r="BW43" i="163"/>
  <c r="BS43" i="163"/>
  <c r="BO43" i="163"/>
  <c r="BK43" i="163"/>
  <c r="BG43" i="163"/>
  <c r="BC43" i="163"/>
  <c r="AY43" i="163"/>
  <c r="AU43" i="163"/>
  <c r="AQ43" i="163"/>
  <c r="AM43" i="163"/>
  <c r="AI43" i="163"/>
  <c r="AE43" i="163"/>
  <c r="AA43" i="163"/>
  <c r="W43" i="163"/>
  <c r="S43" i="163"/>
  <c r="O43" i="163"/>
  <c r="J43" i="163"/>
  <c r="BW42" i="163"/>
  <c r="BS42" i="163"/>
  <c r="BO42" i="163"/>
  <c r="BK42" i="163"/>
  <c r="BG42" i="163"/>
  <c r="BC42" i="163"/>
  <c r="AY42" i="163"/>
  <c r="AU42" i="163"/>
  <c r="AQ42" i="163"/>
  <c r="AM42" i="163"/>
  <c r="AI42" i="163"/>
  <c r="AE42" i="163"/>
  <c r="AA42" i="163"/>
  <c r="W42" i="163"/>
  <c r="S42" i="163"/>
  <c r="O42" i="163"/>
  <c r="J42" i="163"/>
  <c r="BW41" i="163"/>
  <c r="BS41" i="163"/>
  <c r="BO41" i="163"/>
  <c r="BK41" i="163"/>
  <c r="BG41" i="163"/>
  <c r="BC41" i="163"/>
  <c r="AY41" i="163"/>
  <c r="AU41" i="163"/>
  <c r="AQ41" i="163"/>
  <c r="AM41" i="163"/>
  <c r="AI41" i="163"/>
  <c r="AE41" i="163"/>
  <c r="AA41" i="163"/>
  <c r="W41" i="163"/>
  <c r="S41" i="163"/>
  <c r="O41" i="163"/>
  <c r="J41" i="163"/>
  <c r="BW40" i="163"/>
  <c r="BS40" i="163"/>
  <c r="BO40" i="163"/>
  <c r="BK40" i="163"/>
  <c r="BG40" i="163"/>
  <c r="BC40" i="163"/>
  <c r="AY40" i="163"/>
  <c r="AU40" i="163"/>
  <c r="AQ40" i="163"/>
  <c r="AM40" i="163"/>
  <c r="AI40" i="163"/>
  <c r="AE40" i="163"/>
  <c r="AA40" i="163"/>
  <c r="W40" i="163"/>
  <c r="S40" i="163"/>
  <c r="O40" i="163"/>
  <c r="J40" i="163"/>
  <c r="BW39" i="163"/>
  <c r="BS39" i="163"/>
  <c r="BO39" i="163"/>
  <c r="BK39" i="163"/>
  <c r="BG39" i="163"/>
  <c r="BC39" i="163"/>
  <c r="AY39" i="163"/>
  <c r="AU39" i="163"/>
  <c r="AQ39" i="163"/>
  <c r="AM39" i="163"/>
  <c r="AI39" i="163"/>
  <c r="AE39" i="163"/>
  <c r="AA39" i="163"/>
  <c r="W39" i="163"/>
  <c r="S39" i="163"/>
  <c r="O39" i="163"/>
  <c r="J39" i="163"/>
  <c r="BW38" i="163"/>
  <c r="BS38" i="163"/>
  <c r="BO38" i="163"/>
  <c r="BK38" i="163"/>
  <c r="BG38" i="163"/>
  <c r="BC38" i="163"/>
  <c r="AY38" i="163"/>
  <c r="AU38" i="163"/>
  <c r="AQ38" i="163"/>
  <c r="AM38" i="163"/>
  <c r="AI38" i="163"/>
  <c r="AE38" i="163"/>
  <c r="AA38" i="163"/>
  <c r="W38" i="163"/>
  <c r="S38" i="163"/>
  <c r="O38" i="163"/>
  <c r="J38" i="163"/>
  <c r="BW37" i="163"/>
  <c r="BS37" i="163"/>
  <c r="BO37" i="163"/>
  <c r="BK37" i="163"/>
  <c r="BG37" i="163"/>
  <c r="BC37" i="163"/>
  <c r="AY37" i="163"/>
  <c r="AU37" i="163"/>
  <c r="AQ37" i="163"/>
  <c r="AM37" i="163"/>
  <c r="AI37" i="163"/>
  <c r="AE37" i="163"/>
  <c r="AA37" i="163"/>
  <c r="W37" i="163"/>
  <c r="S37" i="163"/>
  <c r="O37" i="163"/>
  <c r="J37" i="163"/>
  <c r="BW36" i="163"/>
  <c r="BS36" i="163"/>
  <c r="BO36" i="163"/>
  <c r="BK36" i="163"/>
  <c r="BG36" i="163"/>
  <c r="BC36" i="163"/>
  <c r="AY36" i="163"/>
  <c r="AU36" i="163"/>
  <c r="AQ36" i="163"/>
  <c r="AM36" i="163"/>
  <c r="AI36" i="163"/>
  <c r="AE36" i="163"/>
  <c r="AA36" i="163"/>
  <c r="W36" i="163"/>
  <c r="S36" i="163"/>
  <c r="O36" i="163"/>
  <c r="J36" i="163"/>
  <c r="BW35" i="163"/>
  <c r="BS35" i="163"/>
  <c r="BO35" i="163"/>
  <c r="BK35" i="163"/>
  <c r="BG35" i="163"/>
  <c r="BC35" i="163"/>
  <c r="AY35" i="163"/>
  <c r="AU35" i="163"/>
  <c r="AQ35" i="163"/>
  <c r="AM35" i="163"/>
  <c r="AI35" i="163"/>
  <c r="AE35" i="163"/>
  <c r="AA35" i="163"/>
  <c r="W35" i="163"/>
  <c r="S35" i="163"/>
  <c r="O35" i="163"/>
  <c r="J35" i="163"/>
  <c r="BW34" i="163"/>
  <c r="BS34" i="163"/>
  <c r="BO34" i="163"/>
  <c r="BK34" i="163"/>
  <c r="BG34" i="163"/>
  <c r="BC34" i="163"/>
  <c r="AY34" i="163"/>
  <c r="AU34" i="163"/>
  <c r="AQ34" i="163"/>
  <c r="AM34" i="163"/>
  <c r="AI34" i="163"/>
  <c r="AE34" i="163"/>
  <c r="AA34" i="163"/>
  <c r="W34" i="163"/>
  <c r="S34" i="163"/>
  <c r="O34" i="163"/>
  <c r="J34" i="163"/>
  <c r="BW33" i="163"/>
  <c r="BS33" i="163"/>
  <c r="BO33" i="163"/>
  <c r="BK33" i="163"/>
  <c r="BG33" i="163"/>
  <c r="BC33" i="163"/>
  <c r="AY33" i="163"/>
  <c r="AU33" i="163"/>
  <c r="AQ33" i="163"/>
  <c r="AM33" i="163"/>
  <c r="AI33" i="163"/>
  <c r="AE33" i="163"/>
  <c r="AA33" i="163"/>
  <c r="W33" i="163"/>
  <c r="S33" i="163"/>
  <c r="O33" i="163"/>
  <c r="J33" i="163"/>
  <c r="BW32" i="163"/>
  <c r="BS32" i="163"/>
  <c r="BO32" i="163"/>
  <c r="BK32" i="163"/>
  <c r="BG32" i="163"/>
  <c r="BC32" i="163"/>
  <c r="AY32" i="163"/>
  <c r="AU32" i="163"/>
  <c r="AQ32" i="163"/>
  <c r="AM32" i="163"/>
  <c r="AI32" i="163"/>
  <c r="AE32" i="163"/>
  <c r="AA32" i="163"/>
  <c r="W32" i="163"/>
  <c r="S32" i="163"/>
  <c r="O32" i="163"/>
  <c r="J32" i="163"/>
  <c r="BW31" i="163"/>
  <c r="BS31" i="163"/>
  <c r="BO31" i="163"/>
  <c r="BK31" i="163"/>
  <c r="BG31" i="163"/>
  <c r="BC31" i="163"/>
  <c r="AY31" i="163"/>
  <c r="AU31" i="163"/>
  <c r="AQ31" i="163"/>
  <c r="AM31" i="163"/>
  <c r="AI31" i="163"/>
  <c r="AE31" i="163"/>
  <c r="AA31" i="163"/>
  <c r="W31" i="163"/>
  <c r="S31" i="163"/>
  <c r="O31" i="163"/>
  <c r="J31" i="163"/>
  <c r="BW30" i="163"/>
  <c r="BS30" i="163"/>
  <c r="BO30" i="163"/>
  <c r="BK30" i="163"/>
  <c r="BG30" i="163"/>
  <c r="BC30" i="163"/>
  <c r="AY30" i="163"/>
  <c r="AU30" i="163"/>
  <c r="AQ30" i="163"/>
  <c r="AM30" i="163"/>
  <c r="AI30" i="163"/>
  <c r="AE30" i="163"/>
  <c r="AA30" i="163"/>
  <c r="W30" i="163"/>
  <c r="S30" i="163"/>
  <c r="O30" i="163"/>
  <c r="J30" i="163"/>
  <c r="BW29" i="163"/>
  <c r="BS29" i="163"/>
  <c r="BO29" i="163"/>
  <c r="BK29" i="163"/>
  <c r="BG29" i="163"/>
  <c r="BC29" i="163"/>
  <c r="AY29" i="163"/>
  <c r="AU29" i="163"/>
  <c r="AQ29" i="163"/>
  <c r="AM29" i="163"/>
  <c r="AI29" i="163"/>
  <c r="AE29" i="163"/>
  <c r="AA29" i="163"/>
  <c r="W29" i="163"/>
  <c r="S29" i="163"/>
  <c r="O29" i="163"/>
  <c r="J29" i="163"/>
  <c r="BW28" i="163"/>
  <c r="BS28" i="163"/>
  <c r="BO28" i="163"/>
  <c r="BK28" i="163"/>
  <c r="BG28" i="163"/>
  <c r="BC28" i="163"/>
  <c r="AY28" i="163"/>
  <c r="AU28" i="163"/>
  <c r="AQ28" i="163"/>
  <c r="AM28" i="163"/>
  <c r="AI28" i="163"/>
  <c r="AE28" i="163"/>
  <c r="AA28" i="163"/>
  <c r="W28" i="163"/>
  <c r="S28" i="163"/>
  <c r="O28" i="163"/>
  <c r="J28" i="163"/>
  <c r="BW27" i="163"/>
  <c r="BS27" i="163"/>
  <c r="BO27" i="163"/>
  <c r="BK27" i="163"/>
  <c r="BG27" i="163"/>
  <c r="BC27" i="163"/>
  <c r="AY27" i="163"/>
  <c r="AU27" i="163"/>
  <c r="AQ27" i="163"/>
  <c r="AM27" i="163"/>
  <c r="AI27" i="163"/>
  <c r="AE27" i="163"/>
  <c r="AA27" i="163"/>
  <c r="W27" i="163"/>
  <c r="S27" i="163"/>
  <c r="O27" i="163"/>
  <c r="J27" i="163"/>
  <c r="BW26" i="163"/>
  <c r="BS26" i="163"/>
  <c r="BO26" i="163"/>
  <c r="BK26" i="163"/>
  <c r="BG26" i="163"/>
  <c r="BC26" i="163"/>
  <c r="AY26" i="163"/>
  <c r="AU26" i="163"/>
  <c r="AQ26" i="163"/>
  <c r="AM26" i="163"/>
  <c r="AI26" i="163"/>
  <c r="AE26" i="163"/>
  <c r="AA26" i="163"/>
  <c r="W26" i="163"/>
  <c r="S26" i="163"/>
  <c r="O26" i="163"/>
  <c r="J26" i="163"/>
  <c r="BW25" i="163"/>
  <c r="BS25" i="163"/>
  <c r="BO25" i="163"/>
  <c r="BK25" i="163"/>
  <c r="BG25" i="163"/>
  <c r="BC25" i="163"/>
  <c r="AY25" i="163"/>
  <c r="AU25" i="163"/>
  <c r="AQ25" i="163"/>
  <c r="AM25" i="163"/>
  <c r="AI25" i="163"/>
  <c r="AE25" i="163"/>
  <c r="AA25" i="163"/>
  <c r="W25" i="163"/>
  <c r="S25" i="163"/>
  <c r="O25" i="163"/>
  <c r="J25" i="163"/>
  <c r="BW24" i="163"/>
  <c r="BS24" i="163"/>
  <c r="BO24" i="163"/>
  <c r="BK24" i="163"/>
  <c r="BG24" i="163"/>
  <c r="BC24" i="163"/>
  <c r="AY24" i="163"/>
  <c r="AU24" i="163"/>
  <c r="AQ24" i="163"/>
  <c r="AM24" i="163"/>
  <c r="AI24" i="163"/>
  <c r="AE24" i="163"/>
  <c r="AA24" i="163"/>
  <c r="W24" i="163"/>
  <c r="S24" i="163"/>
  <c r="O24" i="163"/>
  <c r="J24" i="163"/>
  <c r="BW23" i="163"/>
  <c r="BS23" i="163"/>
  <c r="BO23" i="163"/>
  <c r="BK23" i="163"/>
  <c r="BG23" i="163"/>
  <c r="BC23" i="163"/>
  <c r="AY23" i="163"/>
  <c r="AU23" i="163"/>
  <c r="AQ23" i="163"/>
  <c r="AM23" i="163"/>
  <c r="AI23" i="163"/>
  <c r="AE23" i="163"/>
  <c r="AA23" i="163"/>
  <c r="W23" i="163"/>
  <c r="S23" i="163"/>
  <c r="O23" i="163"/>
  <c r="J23" i="163"/>
  <c r="BW22" i="163"/>
  <c r="BS22" i="163"/>
  <c r="BO22" i="163"/>
  <c r="BK22" i="163"/>
  <c r="BG22" i="163"/>
  <c r="BC22" i="163"/>
  <c r="AY22" i="163"/>
  <c r="AU22" i="163"/>
  <c r="AQ22" i="163"/>
  <c r="AM22" i="163"/>
  <c r="AI22" i="163"/>
  <c r="AE22" i="163"/>
  <c r="AA22" i="163"/>
  <c r="W22" i="163"/>
  <c r="S22" i="163"/>
  <c r="O22" i="163"/>
  <c r="J22" i="163"/>
  <c r="BW21" i="163"/>
  <c r="BS21" i="163"/>
  <c r="BO21" i="163"/>
  <c r="BK21" i="163"/>
  <c r="BG21" i="163"/>
  <c r="BC21" i="163"/>
  <c r="AY21" i="163"/>
  <c r="AU21" i="163"/>
  <c r="AQ21" i="163"/>
  <c r="AM21" i="163"/>
  <c r="AI21" i="163"/>
  <c r="AE21" i="163"/>
  <c r="AA21" i="163"/>
  <c r="W21" i="163"/>
  <c r="S21" i="163"/>
  <c r="O21" i="163"/>
  <c r="J21" i="163"/>
  <c r="BW20" i="163"/>
  <c r="BS20" i="163"/>
  <c r="BO20" i="163"/>
  <c r="BK20" i="163"/>
  <c r="BG20" i="163"/>
  <c r="BC20" i="163"/>
  <c r="AY20" i="163"/>
  <c r="AU20" i="163"/>
  <c r="AQ20" i="163"/>
  <c r="AM20" i="163"/>
  <c r="AI20" i="163"/>
  <c r="AE20" i="163"/>
  <c r="AA20" i="163"/>
  <c r="W20" i="163"/>
  <c r="S20" i="163"/>
  <c r="O20" i="163"/>
  <c r="J20" i="163"/>
  <c r="BW19" i="163"/>
  <c r="BS19" i="163"/>
  <c r="BO19" i="163"/>
  <c r="BK19" i="163"/>
  <c r="BG19" i="163"/>
  <c r="BC19" i="163"/>
  <c r="AY19" i="163"/>
  <c r="AU19" i="163"/>
  <c r="AQ19" i="163"/>
  <c r="AM19" i="163"/>
  <c r="AI19" i="163"/>
  <c r="AE19" i="163"/>
  <c r="AA19" i="163"/>
  <c r="W19" i="163"/>
  <c r="S19" i="163"/>
  <c r="O19" i="163"/>
  <c r="J19" i="163"/>
  <c r="BW18" i="163"/>
  <c r="BS18" i="163"/>
  <c r="BO18" i="163"/>
  <c r="BK18" i="163"/>
  <c r="BG18" i="163"/>
  <c r="BC18" i="163"/>
  <c r="AY18" i="163"/>
  <c r="AU18" i="163"/>
  <c r="AQ18" i="163"/>
  <c r="AM18" i="163"/>
  <c r="AI18" i="163"/>
  <c r="AE18" i="163"/>
  <c r="AA18" i="163"/>
  <c r="W18" i="163"/>
  <c r="S18" i="163"/>
  <c r="O18" i="163"/>
  <c r="J18" i="163"/>
  <c r="BW17" i="163"/>
  <c r="BS17" i="163"/>
  <c r="BO17" i="163"/>
  <c r="BK17" i="163"/>
  <c r="BG17" i="163"/>
  <c r="BC17" i="163"/>
  <c r="AY17" i="163"/>
  <c r="AU17" i="163"/>
  <c r="AQ17" i="163"/>
  <c r="AM17" i="163"/>
  <c r="AI17" i="163"/>
  <c r="AE17" i="163"/>
  <c r="AA17" i="163"/>
  <c r="W17" i="163"/>
  <c r="S17" i="163"/>
  <c r="O17" i="163"/>
  <c r="J17" i="163"/>
  <c r="BW16" i="163"/>
  <c r="BS16" i="163"/>
  <c r="BO16" i="163"/>
  <c r="BK16" i="163"/>
  <c r="BG16" i="163"/>
  <c r="BC16" i="163"/>
  <c r="AY16" i="163"/>
  <c r="AU16" i="163"/>
  <c r="AQ16" i="163"/>
  <c r="AM16" i="163"/>
  <c r="AI16" i="163"/>
  <c r="AE16" i="163"/>
  <c r="AA16" i="163"/>
  <c r="W16" i="163"/>
  <c r="S16" i="163"/>
  <c r="O16" i="163"/>
  <c r="J16" i="163"/>
  <c r="BW15" i="163"/>
  <c r="BS15" i="163"/>
  <c r="BO15" i="163"/>
  <c r="BK15" i="163"/>
  <c r="BG15" i="163"/>
  <c r="BC15" i="163"/>
  <c r="AY15" i="163"/>
  <c r="AU15" i="163"/>
  <c r="AQ15" i="163"/>
  <c r="AM15" i="163"/>
  <c r="AI15" i="163"/>
  <c r="AE15" i="163"/>
  <c r="AA15" i="163"/>
  <c r="W15" i="163"/>
  <c r="S15" i="163"/>
  <c r="O15" i="163"/>
  <c r="J15" i="163"/>
  <c r="BW14" i="163"/>
  <c r="BS14" i="163"/>
  <c r="BO14" i="163"/>
  <c r="BK14" i="163"/>
  <c r="BG14" i="163"/>
  <c r="BC14" i="163"/>
  <c r="AY14" i="163"/>
  <c r="AU14" i="163"/>
  <c r="AQ14" i="163"/>
  <c r="AM14" i="163"/>
  <c r="AI14" i="163"/>
  <c r="AE14" i="163"/>
  <c r="AA14" i="163"/>
  <c r="W14" i="163"/>
  <c r="S14" i="163"/>
  <c r="O14" i="163"/>
  <c r="J14" i="163"/>
  <c r="BW13" i="163"/>
  <c r="BS13" i="163"/>
  <c r="BO13" i="163"/>
  <c r="BK13" i="163"/>
  <c r="BG13" i="163"/>
  <c r="BC13" i="163"/>
  <c r="AY13" i="163"/>
  <c r="AU13" i="163"/>
  <c r="AQ13" i="163"/>
  <c r="AM13" i="163"/>
  <c r="AI13" i="163"/>
  <c r="AE13" i="163"/>
  <c r="AA13" i="163"/>
  <c r="W13" i="163"/>
  <c r="S13" i="163"/>
  <c r="O13" i="163"/>
  <c r="J13" i="163"/>
  <c r="BW12" i="163"/>
  <c r="BS12" i="163"/>
  <c r="BO12" i="163"/>
  <c r="BK12" i="163"/>
  <c r="BG12" i="163"/>
  <c r="BC12" i="163"/>
  <c r="AY12" i="163"/>
  <c r="AU12" i="163"/>
  <c r="AQ12" i="163"/>
  <c r="AM12" i="163"/>
  <c r="AI12" i="163"/>
  <c r="AE12" i="163"/>
  <c r="AA12" i="163"/>
  <c r="W12" i="163"/>
  <c r="S12" i="163"/>
  <c r="O12" i="163"/>
  <c r="J12" i="163"/>
  <c r="BW11" i="163"/>
  <c r="BS11" i="163"/>
  <c r="BO11" i="163"/>
  <c r="BK11" i="163"/>
  <c r="BG11" i="163"/>
  <c r="BC11" i="163"/>
  <c r="AY11" i="163"/>
  <c r="AU11" i="163"/>
  <c r="AQ11" i="163"/>
  <c r="AM11" i="163"/>
  <c r="AI11" i="163"/>
  <c r="AE11" i="163"/>
  <c r="AA11" i="163"/>
  <c r="W11" i="163"/>
  <c r="S11" i="163"/>
  <c r="O11" i="163"/>
  <c r="J11" i="163"/>
  <c r="BW10" i="163"/>
  <c r="BS10" i="163"/>
  <c r="BO10" i="163"/>
  <c r="BK10" i="163"/>
  <c r="BG10" i="163"/>
  <c r="BC10" i="163"/>
  <c r="AY10" i="163"/>
  <c r="AU10" i="163"/>
  <c r="AQ10" i="163"/>
  <c r="AM10" i="163"/>
  <c r="AI10" i="163"/>
  <c r="AE10" i="163"/>
  <c r="AA10" i="163"/>
  <c r="W10" i="163"/>
  <c r="S10" i="163"/>
  <c r="O10" i="163"/>
  <c r="J10" i="163"/>
  <c r="BW9" i="163"/>
  <c r="BS9" i="163"/>
  <c r="BO9" i="163"/>
  <c r="BK9" i="163"/>
  <c r="BG9" i="163"/>
  <c r="BC9" i="163"/>
  <c r="AY9" i="163"/>
  <c r="AU9" i="163"/>
  <c r="AQ9" i="163"/>
  <c r="AM9" i="163"/>
  <c r="AI9" i="163"/>
  <c r="AE9" i="163"/>
  <c r="AA9" i="163"/>
  <c r="W9" i="163"/>
  <c r="S9" i="163"/>
  <c r="O9" i="163"/>
  <c r="J9" i="163"/>
  <c r="BW8" i="163"/>
  <c r="BS8" i="163"/>
  <c r="BO8" i="163"/>
  <c r="BK8" i="163"/>
  <c r="BG8" i="163"/>
  <c r="BC8" i="163"/>
  <c r="AY8" i="163"/>
  <c r="AU8" i="163"/>
  <c r="AQ8" i="163"/>
  <c r="AM8" i="163"/>
  <c r="AI8" i="163"/>
  <c r="AE8" i="163"/>
  <c r="AA8" i="163"/>
  <c r="W8" i="163"/>
  <c r="S8" i="163"/>
  <c r="O8" i="163"/>
  <c r="J8" i="163"/>
  <c r="BW7" i="163"/>
  <c r="BS7" i="163"/>
  <c r="BO7" i="163"/>
  <c r="BK7" i="163"/>
  <c r="BG7" i="163"/>
  <c r="BC7" i="163"/>
  <c r="AY7" i="163"/>
  <c r="AU7" i="163"/>
  <c r="AQ7" i="163"/>
  <c r="AM7" i="163"/>
  <c r="AI7" i="163"/>
  <c r="AE7" i="163"/>
  <c r="AA7" i="163"/>
  <c r="W7" i="163"/>
  <c r="S7" i="163"/>
  <c r="O7" i="163"/>
  <c r="J7" i="163"/>
  <c r="BU6" i="163"/>
  <c r="BT6" i="163"/>
  <c r="BM6" i="163"/>
  <c r="BL6" i="163"/>
  <c r="BK6" i="163"/>
  <c r="BJ6" i="163"/>
  <c r="BI6" i="163"/>
  <c r="BH6" i="163"/>
  <c r="BD6" i="163"/>
  <c r="AW6" i="163"/>
  <c r="AV6" i="163"/>
  <c r="AO6" i="163"/>
  <c r="AN6" i="163"/>
  <c r="AM6" i="163"/>
  <c r="AL6" i="163"/>
  <c r="AK6" i="163"/>
  <c r="AJ6" i="163"/>
  <c r="AF6" i="163"/>
  <c r="Y6" i="163"/>
  <c r="X6" i="163"/>
  <c r="Q6" i="163"/>
  <c r="P6" i="163"/>
  <c r="O6" i="163"/>
  <c r="N6" i="163"/>
  <c r="M6" i="163"/>
  <c r="L6" i="163"/>
  <c r="BH5" i="163"/>
  <c r="BK5" i="163" s="1"/>
  <c r="BG5" i="163"/>
  <c r="BD5" i="163"/>
  <c r="AZ5" i="163"/>
  <c r="BC5" i="163" s="1"/>
  <c r="AJ5" i="163"/>
  <c r="AM5" i="163" s="1"/>
  <c r="AI5" i="163"/>
  <c r="AF5" i="163"/>
  <c r="AB5" i="163"/>
  <c r="AE5" i="163" s="1"/>
  <c r="L5" i="163"/>
  <c r="O5" i="163" s="1"/>
  <c r="BT4" i="163"/>
  <c r="BS4" i="163"/>
  <c r="BT5" i="163" s="1"/>
  <c r="BW5" i="163" s="1"/>
  <c r="BO4" i="163"/>
  <c r="BR6" i="163" s="1"/>
  <c r="BS6" i="163" s="1"/>
  <c r="BK4" i="163"/>
  <c r="BL4" i="163" s="1"/>
  <c r="BG4" i="163"/>
  <c r="BH4" i="163" s="1"/>
  <c r="BC4" i="163"/>
  <c r="BF6" i="163" s="1"/>
  <c r="BG6" i="163" s="1"/>
  <c r="AY4" i="163"/>
  <c r="AZ6" i="163" s="1"/>
  <c r="AV4" i="163"/>
  <c r="AU4" i="163"/>
  <c r="AV5" i="163" s="1"/>
  <c r="AY5" i="163" s="1"/>
  <c r="AQ4" i="163"/>
  <c r="AT6" i="163" s="1"/>
  <c r="AU6" i="163" s="1"/>
  <c r="AM4" i="163"/>
  <c r="AN4" i="163" s="1"/>
  <c r="AI4" i="163"/>
  <c r="AJ4" i="163" s="1"/>
  <c r="AE4" i="163"/>
  <c r="AH6" i="163" s="1"/>
  <c r="AI6" i="163" s="1"/>
  <c r="AA4" i="163"/>
  <c r="AB6" i="163" s="1"/>
  <c r="X4" i="163"/>
  <c r="W4" i="163"/>
  <c r="X5" i="163" s="1"/>
  <c r="AA5" i="163" s="1"/>
  <c r="S4" i="163"/>
  <c r="V6" i="163" s="1"/>
  <c r="W6" i="163" s="1"/>
  <c r="O4" i="163"/>
  <c r="P4" i="163" s="1"/>
  <c r="K4" i="163"/>
  <c r="L4" i="163" s="1"/>
  <c r="J4" i="163"/>
  <c r="BT3" i="163"/>
  <c r="BP3" i="163"/>
  <c r="BL3" i="163"/>
  <c r="BH3" i="163"/>
  <c r="BD3" i="163"/>
  <c r="AZ3" i="163"/>
  <c r="AV3" i="163"/>
  <c r="AR3" i="163"/>
  <c r="AN3" i="163"/>
  <c r="AJ3" i="163"/>
  <c r="AF3" i="163"/>
  <c r="AB3" i="163"/>
  <c r="X3" i="163"/>
  <c r="T3" i="163"/>
  <c r="P3" i="163"/>
  <c r="L3" i="163"/>
  <c r="J3" i="163"/>
  <c r="J2" i="163"/>
  <c r="F1" i="163"/>
  <c r="BW82" i="162"/>
  <c r="BS82" i="162"/>
  <c r="BO82" i="162"/>
  <c r="BK82" i="162"/>
  <c r="BG82" i="162"/>
  <c r="BC82" i="162"/>
  <c r="AY82" i="162"/>
  <c r="AU82" i="162"/>
  <c r="AQ82" i="162"/>
  <c r="AM82" i="162"/>
  <c r="AI82" i="162"/>
  <c r="AE82" i="162"/>
  <c r="AA82" i="162"/>
  <c r="W82" i="162"/>
  <c r="S82" i="162"/>
  <c r="O82" i="162"/>
  <c r="J82" i="162"/>
  <c r="BW81" i="162"/>
  <c r="BS81" i="162"/>
  <c r="BO81" i="162"/>
  <c r="BK81" i="162"/>
  <c r="BG81" i="162"/>
  <c r="BC81" i="162"/>
  <c r="AY81" i="162"/>
  <c r="AU81" i="162"/>
  <c r="AQ81" i="162"/>
  <c r="AM81" i="162"/>
  <c r="AI81" i="162"/>
  <c r="AE81" i="162"/>
  <c r="AA81" i="162"/>
  <c r="W81" i="162"/>
  <c r="S81" i="162"/>
  <c r="O81" i="162"/>
  <c r="J81" i="162"/>
  <c r="BW80" i="162"/>
  <c r="BS80" i="162"/>
  <c r="BO80" i="162"/>
  <c r="BK80" i="162"/>
  <c r="BG80" i="162"/>
  <c r="BC80" i="162"/>
  <c r="AY80" i="162"/>
  <c r="AU80" i="162"/>
  <c r="AQ80" i="162"/>
  <c r="AM80" i="162"/>
  <c r="AI80" i="162"/>
  <c r="AE80" i="162"/>
  <c r="AA80" i="162"/>
  <c r="W80" i="162"/>
  <c r="S80" i="162"/>
  <c r="O80" i="162"/>
  <c r="J80" i="162"/>
  <c r="BW79" i="162"/>
  <c r="BS79" i="162"/>
  <c r="BO79" i="162"/>
  <c r="BK79" i="162"/>
  <c r="BG79" i="162"/>
  <c r="BC79" i="162"/>
  <c r="AY79" i="162"/>
  <c r="AU79" i="162"/>
  <c r="AQ79" i="162"/>
  <c r="AM79" i="162"/>
  <c r="AI79" i="162"/>
  <c r="AE79" i="162"/>
  <c r="AA79" i="162"/>
  <c r="W79" i="162"/>
  <c r="S79" i="162"/>
  <c r="O79" i="162"/>
  <c r="J79" i="162"/>
  <c r="BW78" i="162"/>
  <c r="BS78" i="162"/>
  <c r="BO78" i="162"/>
  <c r="BK78" i="162"/>
  <c r="BG78" i="162"/>
  <c r="BC78" i="162"/>
  <c r="AY78" i="162"/>
  <c r="AU78" i="162"/>
  <c r="AQ78" i="162"/>
  <c r="AM78" i="162"/>
  <c r="AI78" i="162"/>
  <c r="AE78" i="162"/>
  <c r="AA78" i="162"/>
  <c r="W78" i="162"/>
  <c r="S78" i="162"/>
  <c r="O78" i="162"/>
  <c r="J78" i="162"/>
  <c r="BW77" i="162"/>
  <c r="BS77" i="162"/>
  <c r="BO77" i="162"/>
  <c r="BK77" i="162"/>
  <c r="BG77" i="162"/>
  <c r="BC77" i="162"/>
  <c r="AY77" i="162"/>
  <c r="AU77" i="162"/>
  <c r="AQ77" i="162"/>
  <c r="AM77" i="162"/>
  <c r="AI77" i="162"/>
  <c r="AE77" i="162"/>
  <c r="AA77" i="162"/>
  <c r="W77" i="162"/>
  <c r="S77" i="162"/>
  <c r="O77" i="162"/>
  <c r="J77" i="162"/>
  <c r="BW76" i="162"/>
  <c r="BS76" i="162"/>
  <c r="BO76" i="162"/>
  <c r="BK76" i="162"/>
  <c r="BG76" i="162"/>
  <c r="BC76" i="162"/>
  <c r="AY76" i="162"/>
  <c r="AU76" i="162"/>
  <c r="AQ76" i="162"/>
  <c r="AM76" i="162"/>
  <c r="AI76" i="162"/>
  <c r="AE76" i="162"/>
  <c r="AA76" i="162"/>
  <c r="W76" i="162"/>
  <c r="S76" i="162"/>
  <c r="O76" i="162"/>
  <c r="J76" i="162"/>
  <c r="BW75" i="162"/>
  <c r="BS75" i="162"/>
  <c r="BO75" i="162"/>
  <c r="BK75" i="162"/>
  <c r="BG75" i="162"/>
  <c r="BC75" i="162"/>
  <c r="AY75" i="162"/>
  <c r="AU75" i="162"/>
  <c r="AQ75" i="162"/>
  <c r="AM75" i="162"/>
  <c r="AI75" i="162"/>
  <c r="AE75" i="162"/>
  <c r="AA75" i="162"/>
  <c r="W75" i="162"/>
  <c r="S75" i="162"/>
  <c r="O75" i="162"/>
  <c r="J75" i="162"/>
  <c r="BW74" i="162"/>
  <c r="BS74" i="162"/>
  <c r="BO74" i="162"/>
  <c r="BK74" i="162"/>
  <c r="BG74" i="162"/>
  <c r="BC74" i="162"/>
  <c r="AY74" i="162"/>
  <c r="AU74" i="162"/>
  <c r="AQ74" i="162"/>
  <c r="AM74" i="162"/>
  <c r="AI74" i="162"/>
  <c r="AE74" i="162"/>
  <c r="AA74" i="162"/>
  <c r="W74" i="162"/>
  <c r="S74" i="162"/>
  <c r="O74" i="162"/>
  <c r="J74" i="162"/>
  <c r="BW73" i="162"/>
  <c r="BS73" i="162"/>
  <c r="BO73" i="162"/>
  <c r="BK73" i="162"/>
  <c r="BG73" i="162"/>
  <c r="BC73" i="162"/>
  <c r="AY73" i="162"/>
  <c r="AU73" i="162"/>
  <c r="AQ73" i="162"/>
  <c r="AM73" i="162"/>
  <c r="AI73" i="162"/>
  <c r="AE73" i="162"/>
  <c r="AA73" i="162"/>
  <c r="W73" i="162"/>
  <c r="S73" i="162"/>
  <c r="O73" i="162"/>
  <c r="J73" i="162"/>
  <c r="BW72" i="162"/>
  <c r="BS72" i="162"/>
  <c r="BO72" i="162"/>
  <c r="BK72" i="162"/>
  <c r="BG72" i="162"/>
  <c r="BC72" i="162"/>
  <c r="AY72" i="162"/>
  <c r="AU72" i="162"/>
  <c r="AQ72" i="162"/>
  <c r="AM72" i="162"/>
  <c r="AI72" i="162"/>
  <c r="AE72" i="162"/>
  <c r="AA72" i="162"/>
  <c r="W72" i="162"/>
  <c r="S72" i="162"/>
  <c r="O72" i="162"/>
  <c r="J72" i="162"/>
  <c r="BW71" i="162"/>
  <c r="BS71" i="162"/>
  <c r="BO71" i="162"/>
  <c r="BK71" i="162"/>
  <c r="BG71" i="162"/>
  <c r="BC71" i="162"/>
  <c r="AY71" i="162"/>
  <c r="AU71" i="162"/>
  <c r="AQ71" i="162"/>
  <c r="AM71" i="162"/>
  <c r="AI71" i="162"/>
  <c r="AE71" i="162"/>
  <c r="AA71" i="162"/>
  <c r="W71" i="162"/>
  <c r="S71" i="162"/>
  <c r="O71" i="162"/>
  <c r="J71" i="162"/>
  <c r="BW70" i="162"/>
  <c r="BS70" i="162"/>
  <c r="BO70" i="162"/>
  <c r="BK70" i="162"/>
  <c r="BG70" i="162"/>
  <c r="BC70" i="162"/>
  <c r="AY70" i="162"/>
  <c r="AU70" i="162"/>
  <c r="AQ70" i="162"/>
  <c r="AM70" i="162"/>
  <c r="AI70" i="162"/>
  <c r="AE70" i="162"/>
  <c r="AA70" i="162"/>
  <c r="W70" i="162"/>
  <c r="S70" i="162"/>
  <c r="O70" i="162"/>
  <c r="J70" i="162"/>
  <c r="BW69" i="162"/>
  <c r="BS69" i="162"/>
  <c r="BO69" i="162"/>
  <c r="BK69" i="162"/>
  <c r="BG69" i="162"/>
  <c r="BC69" i="162"/>
  <c r="AY69" i="162"/>
  <c r="AU69" i="162"/>
  <c r="AQ69" i="162"/>
  <c r="AM69" i="162"/>
  <c r="AI69" i="162"/>
  <c r="AE69" i="162"/>
  <c r="AA69" i="162"/>
  <c r="W69" i="162"/>
  <c r="S69" i="162"/>
  <c r="O69" i="162"/>
  <c r="J69" i="162"/>
  <c r="BW68" i="162"/>
  <c r="BS68" i="162"/>
  <c r="BO68" i="162"/>
  <c r="BK68" i="162"/>
  <c r="BG68" i="162"/>
  <c r="BC68" i="162"/>
  <c r="AY68" i="162"/>
  <c r="AU68" i="162"/>
  <c r="AQ68" i="162"/>
  <c r="AM68" i="162"/>
  <c r="AI68" i="162"/>
  <c r="AE68" i="162"/>
  <c r="AA68" i="162"/>
  <c r="W68" i="162"/>
  <c r="S68" i="162"/>
  <c r="O68" i="162"/>
  <c r="J68" i="162"/>
  <c r="BW67" i="162"/>
  <c r="BS67" i="162"/>
  <c r="BO67" i="162"/>
  <c r="BK67" i="162"/>
  <c r="BG67" i="162"/>
  <c r="BC67" i="162"/>
  <c r="AY67" i="162"/>
  <c r="AU67" i="162"/>
  <c r="AQ67" i="162"/>
  <c r="AM67" i="162"/>
  <c r="AI67" i="162"/>
  <c r="AE67" i="162"/>
  <c r="AA67" i="162"/>
  <c r="W67" i="162"/>
  <c r="S67" i="162"/>
  <c r="O67" i="162"/>
  <c r="J67" i="162"/>
  <c r="BW66" i="162"/>
  <c r="BS66" i="162"/>
  <c r="BO66" i="162"/>
  <c r="BK66" i="162"/>
  <c r="BG66" i="162"/>
  <c r="BC66" i="162"/>
  <c r="AY66" i="162"/>
  <c r="AU66" i="162"/>
  <c r="AQ66" i="162"/>
  <c r="AM66" i="162"/>
  <c r="AI66" i="162"/>
  <c r="AE66" i="162"/>
  <c r="AA66" i="162"/>
  <c r="W66" i="162"/>
  <c r="S66" i="162"/>
  <c r="O66" i="162"/>
  <c r="J66" i="162"/>
  <c r="BW65" i="162"/>
  <c r="BS65" i="162"/>
  <c r="BO65" i="162"/>
  <c r="BK65" i="162"/>
  <c r="BG65" i="162"/>
  <c r="BC65" i="162"/>
  <c r="AY65" i="162"/>
  <c r="AU65" i="162"/>
  <c r="AQ65" i="162"/>
  <c r="AM65" i="162"/>
  <c r="AI65" i="162"/>
  <c r="AE65" i="162"/>
  <c r="AA65" i="162"/>
  <c r="W65" i="162"/>
  <c r="S65" i="162"/>
  <c r="O65" i="162"/>
  <c r="J65" i="162"/>
  <c r="BW64" i="162"/>
  <c r="BS64" i="162"/>
  <c r="BO64" i="162"/>
  <c r="BK64" i="162"/>
  <c r="BG64" i="162"/>
  <c r="BC64" i="162"/>
  <c r="AY64" i="162"/>
  <c r="AU64" i="162"/>
  <c r="AQ64" i="162"/>
  <c r="AM64" i="162"/>
  <c r="AI64" i="162"/>
  <c r="AE64" i="162"/>
  <c r="AA64" i="162"/>
  <c r="W64" i="162"/>
  <c r="S64" i="162"/>
  <c r="O64" i="162"/>
  <c r="J64" i="162"/>
  <c r="BW63" i="162"/>
  <c r="BS63" i="162"/>
  <c r="BO63" i="162"/>
  <c r="BK63" i="162"/>
  <c r="BG63" i="162"/>
  <c r="BC63" i="162"/>
  <c r="AY63" i="162"/>
  <c r="AU63" i="162"/>
  <c r="AQ63" i="162"/>
  <c r="AM63" i="162"/>
  <c r="AI63" i="162"/>
  <c r="AE63" i="162"/>
  <c r="AA63" i="162"/>
  <c r="W63" i="162"/>
  <c r="S63" i="162"/>
  <c r="O63" i="162"/>
  <c r="J63" i="162"/>
  <c r="BW62" i="162"/>
  <c r="BS62" i="162"/>
  <c r="BO62" i="162"/>
  <c r="BK62" i="162"/>
  <c r="BG62" i="162"/>
  <c r="BC62" i="162"/>
  <c r="AY62" i="162"/>
  <c r="AU62" i="162"/>
  <c r="AQ62" i="162"/>
  <c r="AM62" i="162"/>
  <c r="AI62" i="162"/>
  <c r="AE62" i="162"/>
  <c r="AA62" i="162"/>
  <c r="W62" i="162"/>
  <c r="S62" i="162"/>
  <c r="O62" i="162"/>
  <c r="J62" i="162"/>
  <c r="BW61" i="162"/>
  <c r="BS61" i="162"/>
  <c r="BO61" i="162"/>
  <c r="BK61" i="162"/>
  <c r="BG61" i="162"/>
  <c r="BC61" i="162"/>
  <c r="AY61" i="162"/>
  <c r="AU61" i="162"/>
  <c r="AQ61" i="162"/>
  <c r="AM61" i="162"/>
  <c r="AI61" i="162"/>
  <c r="AE61" i="162"/>
  <c r="AA61" i="162"/>
  <c r="W61" i="162"/>
  <c r="S61" i="162"/>
  <c r="O61" i="162"/>
  <c r="J61" i="162"/>
  <c r="BW60" i="162"/>
  <c r="BS60" i="162"/>
  <c r="BO60" i="162"/>
  <c r="BK60" i="162"/>
  <c r="BG60" i="162"/>
  <c r="BC60" i="162"/>
  <c r="AY60" i="162"/>
  <c r="AU60" i="162"/>
  <c r="AQ60" i="162"/>
  <c r="AM60" i="162"/>
  <c r="AI60" i="162"/>
  <c r="AE60" i="162"/>
  <c r="AA60" i="162"/>
  <c r="W60" i="162"/>
  <c r="S60" i="162"/>
  <c r="O60" i="162"/>
  <c r="J60" i="162"/>
  <c r="BW59" i="162"/>
  <c r="BS59" i="162"/>
  <c r="BO59" i="162"/>
  <c r="BK59" i="162"/>
  <c r="BG59" i="162"/>
  <c r="BC59" i="162"/>
  <c r="AY59" i="162"/>
  <c r="AU59" i="162"/>
  <c r="AQ59" i="162"/>
  <c r="AM59" i="162"/>
  <c r="AI59" i="162"/>
  <c r="AE59" i="162"/>
  <c r="AA59" i="162"/>
  <c r="W59" i="162"/>
  <c r="S59" i="162"/>
  <c r="O59" i="162"/>
  <c r="J59" i="162"/>
  <c r="BW58" i="162"/>
  <c r="BS58" i="162"/>
  <c r="BO58" i="162"/>
  <c r="BK58" i="162"/>
  <c r="BG58" i="162"/>
  <c r="BC58" i="162"/>
  <c r="AY58" i="162"/>
  <c r="AU58" i="162"/>
  <c r="AQ58" i="162"/>
  <c r="AM58" i="162"/>
  <c r="AI58" i="162"/>
  <c r="AE58" i="162"/>
  <c r="AA58" i="162"/>
  <c r="W58" i="162"/>
  <c r="S58" i="162"/>
  <c r="O58" i="162"/>
  <c r="J58" i="162"/>
  <c r="BW57" i="162"/>
  <c r="BS57" i="162"/>
  <c r="BO57" i="162"/>
  <c r="BK57" i="162"/>
  <c r="BG57" i="162"/>
  <c r="BC57" i="162"/>
  <c r="AY57" i="162"/>
  <c r="AU57" i="162"/>
  <c r="AQ57" i="162"/>
  <c r="AM57" i="162"/>
  <c r="AI57" i="162"/>
  <c r="AE57" i="162"/>
  <c r="AA57" i="162"/>
  <c r="W57" i="162"/>
  <c r="S57" i="162"/>
  <c r="O57" i="162"/>
  <c r="J57" i="162"/>
  <c r="BW56" i="162"/>
  <c r="BS56" i="162"/>
  <c r="BO56" i="162"/>
  <c r="BK56" i="162"/>
  <c r="BG56" i="162"/>
  <c r="BC56" i="162"/>
  <c r="AY56" i="162"/>
  <c r="AU56" i="162"/>
  <c r="AQ56" i="162"/>
  <c r="AM56" i="162"/>
  <c r="AI56" i="162"/>
  <c r="AE56" i="162"/>
  <c r="AA56" i="162"/>
  <c r="W56" i="162"/>
  <c r="S56" i="162"/>
  <c r="O56" i="162"/>
  <c r="J56" i="162"/>
  <c r="BW55" i="162"/>
  <c r="BS55" i="162"/>
  <c r="BO55" i="162"/>
  <c r="BK55" i="162"/>
  <c r="BG55" i="162"/>
  <c r="BC55" i="162"/>
  <c r="AY55" i="162"/>
  <c r="AU55" i="162"/>
  <c r="AQ55" i="162"/>
  <c r="AM55" i="162"/>
  <c r="AI55" i="162"/>
  <c r="AE55" i="162"/>
  <c r="AA55" i="162"/>
  <c r="W55" i="162"/>
  <c r="S55" i="162"/>
  <c r="O55" i="162"/>
  <c r="J55" i="162"/>
  <c r="BW54" i="162"/>
  <c r="BS54" i="162"/>
  <c r="BO54" i="162"/>
  <c r="BK54" i="162"/>
  <c r="BG54" i="162"/>
  <c r="BC54" i="162"/>
  <c r="AY54" i="162"/>
  <c r="AU54" i="162"/>
  <c r="AQ54" i="162"/>
  <c r="AM54" i="162"/>
  <c r="AI54" i="162"/>
  <c r="AE54" i="162"/>
  <c r="AA54" i="162"/>
  <c r="W54" i="162"/>
  <c r="S54" i="162"/>
  <c r="O54" i="162"/>
  <c r="J54" i="162"/>
  <c r="BW53" i="162"/>
  <c r="BS53" i="162"/>
  <c r="BO53" i="162"/>
  <c r="BK53" i="162"/>
  <c r="BG53" i="162"/>
  <c r="BC53" i="162"/>
  <c r="AY53" i="162"/>
  <c r="AU53" i="162"/>
  <c r="AQ53" i="162"/>
  <c r="AM53" i="162"/>
  <c r="AI53" i="162"/>
  <c r="AE53" i="162"/>
  <c r="AA53" i="162"/>
  <c r="W53" i="162"/>
  <c r="S53" i="162"/>
  <c r="O53" i="162"/>
  <c r="J53" i="162"/>
  <c r="BW52" i="162"/>
  <c r="BS52" i="162"/>
  <c r="BO52" i="162"/>
  <c r="BK52" i="162"/>
  <c r="BG52" i="162"/>
  <c r="BC52" i="162"/>
  <c r="AY52" i="162"/>
  <c r="AU52" i="162"/>
  <c r="AQ52" i="162"/>
  <c r="AM52" i="162"/>
  <c r="AI52" i="162"/>
  <c r="AE52" i="162"/>
  <c r="AA52" i="162"/>
  <c r="W52" i="162"/>
  <c r="S52" i="162"/>
  <c r="O52" i="162"/>
  <c r="J52" i="162"/>
  <c r="BW51" i="162"/>
  <c r="BS51" i="162"/>
  <c r="BO51" i="162"/>
  <c r="BK51" i="162"/>
  <c r="BG51" i="162"/>
  <c r="BC51" i="162"/>
  <c r="AY51" i="162"/>
  <c r="AU51" i="162"/>
  <c r="AQ51" i="162"/>
  <c r="AM51" i="162"/>
  <c r="AI51" i="162"/>
  <c r="AE51" i="162"/>
  <c r="AA51" i="162"/>
  <c r="W51" i="162"/>
  <c r="S51" i="162"/>
  <c r="O51" i="162"/>
  <c r="J51" i="162"/>
  <c r="BW50" i="162"/>
  <c r="BS50" i="162"/>
  <c r="BO50" i="162"/>
  <c r="BK50" i="162"/>
  <c r="BG50" i="162"/>
  <c r="BC50" i="162"/>
  <c r="AY50" i="162"/>
  <c r="AU50" i="162"/>
  <c r="AQ50" i="162"/>
  <c r="AM50" i="162"/>
  <c r="AI50" i="162"/>
  <c r="AE50" i="162"/>
  <c r="AA50" i="162"/>
  <c r="W50" i="162"/>
  <c r="S50" i="162"/>
  <c r="O50" i="162"/>
  <c r="J50" i="162"/>
  <c r="BW49" i="162"/>
  <c r="BS49" i="162"/>
  <c r="BO49" i="162"/>
  <c r="BK49" i="162"/>
  <c r="BG49" i="162"/>
  <c r="BC49" i="162"/>
  <c r="AY49" i="162"/>
  <c r="AU49" i="162"/>
  <c r="AQ49" i="162"/>
  <c r="AM49" i="162"/>
  <c r="AI49" i="162"/>
  <c r="AE49" i="162"/>
  <c r="AA49" i="162"/>
  <c r="W49" i="162"/>
  <c r="S49" i="162"/>
  <c r="O49" i="162"/>
  <c r="J49" i="162"/>
  <c r="BW48" i="162"/>
  <c r="BS48" i="162"/>
  <c r="BO48" i="162"/>
  <c r="BK48" i="162"/>
  <c r="BG48" i="162"/>
  <c r="BC48" i="162"/>
  <c r="AY48" i="162"/>
  <c r="AU48" i="162"/>
  <c r="AQ48" i="162"/>
  <c r="AM48" i="162"/>
  <c r="AI48" i="162"/>
  <c r="AE48" i="162"/>
  <c r="AA48" i="162"/>
  <c r="W48" i="162"/>
  <c r="S48" i="162"/>
  <c r="O48" i="162"/>
  <c r="J48" i="162"/>
  <c r="BW47" i="162"/>
  <c r="BS47" i="162"/>
  <c r="BO47" i="162"/>
  <c r="BK47" i="162"/>
  <c r="BG47" i="162"/>
  <c r="BC47" i="162"/>
  <c r="AY47" i="162"/>
  <c r="AU47" i="162"/>
  <c r="AQ47" i="162"/>
  <c r="AM47" i="162"/>
  <c r="AI47" i="162"/>
  <c r="AE47" i="162"/>
  <c r="AA47" i="162"/>
  <c r="W47" i="162"/>
  <c r="S47" i="162"/>
  <c r="O47" i="162"/>
  <c r="J47" i="162"/>
  <c r="BW46" i="162"/>
  <c r="BS46" i="162"/>
  <c r="BO46" i="162"/>
  <c r="BK46" i="162"/>
  <c r="BG46" i="162"/>
  <c r="BC46" i="162"/>
  <c r="AY46" i="162"/>
  <c r="AU46" i="162"/>
  <c r="AQ46" i="162"/>
  <c r="AM46" i="162"/>
  <c r="AI46" i="162"/>
  <c r="AE46" i="162"/>
  <c r="AA46" i="162"/>
  <c r="W46" i="162"/>
  <c r="S46" i="162"/>
  <c r="O46" i="162"/>
  <c r="J46" i="162"/>
  <c r="BW45" i="162"/>
  <c r="BS45" i="162"/>
  <c r="BO45" i="162"/>
  <c r="BK45" i="162"/>
  <c r="BG45" i="162"/>
  <c r="BC45" i="162"/>
  <c r="AY45" i="162"/>
  <c r="AU45" i="162"/>
  <c r="AQ45" i="162"/>
  <c r="AM45" i="162"/>
  <c r="AI45" i="162"/>
  <c r="AE45" i="162"/>
  <c r="AA45" i="162"/>
  <c r="W45" i="162"/>
  <c r="S45" i="162"/>
  <c r="O45" i="162"/>
  <c r="J45" i="162"/>
  <c r="BW44" i="162"/>
  <c r="BS44" i="162"/>
  <c r="BO44" i="162"/>
  <c r="BK44" i="162"/>
  <c r="BG44" i="162"/>
  <c r="BC44" i="162"/>
  <c r="AY44" i="162"/>
  <c r="AU44" i="162"/>
  <c r="AQ44" i="162"/>
  <c r="AM44" i="162"/>
  <c r="AI44" i="162"/>
  <c r="AE44" i="162"/>
  <c r="AA44" i="162"/>
  <c r="W44" i="162"/>
  <c r="S44" i="162"/>
  <c r="O44" i="162"/>
  <c r="J44" i="162"/>
  <c r="BW43" i="162"/>
  <c r="BS43" i="162"/>
  <c r="BO43" i="162"/>
  <c r="BK43" i="162"/>
  <c r="BG43" i="162"/>
  <c r="BC43" i="162"/>
  <c r="AY43" i="162"/>
  <c r="AU43" i="162"/>
  <c r="AQ43" i="162"/>
  <c r="AM43" i="162"/>
  <c r="AI43" i="162"/>
  <c r="AE43" i="162"/>
  <c r="AA43" i="162"/>
  <c r="W43" i="162"/>
  <c r="S43" i="162"/>
  <c r="O43" i="162"/>
  <c r="J43" i="162"/>
  <c r="BW42" i="162"/>
  <c r="BS42" i="162"/>
  <c r="BO42" i="162"/>
  <c r="BK42" i="162"/>
  <c r="BG42" i="162"/>
  <c r="BC42" i="162"/>
  <c r="AY42" i="162"/>
  <c r="AU42" i="162"/>
  <c r="AQ42" i="162"/>
  <c r="AM42" i="162"/>
  <c r="AI42" i="162"/>
  <c r="AE42" i="162"/>
  <c r="AA42" i="162"/>
  <c r="W42" i="162"/>
  <c r="S42" i="162"/>
  <c r="O42" i="162"/>
  <c r="J42" i="162"/>
  <c r="BW41" i="162"/>
  <c r="BS41" i="162"/>
  <c r="BO41" i="162"/>
  <c r="BK41" i="162"/>
  <c r="BG41" i="162"/>
  <c r="BC41" i="162"/>
  <c r="AY41" i="162"/>
  <c r="AU41" i="162"/>
  <c r="AQ41" i="162"/>
  <c r="AM41" i="162"/>
  <c r="AI41" i="162"/>
  <c r="AE41" i="162"/>
  <c r="AA41" i="162"/>
  <c r="W41" i="162"/>
  <c r="S41" i="162"/>
  <c r="O41" i="162"/>
  <c r="J41" i="162"/>
  <c r="BW40" i="162"/>
  <c r="BS40" i="162"/>
  <c r="BO40" i="162"/>
  <c r="BK40" i="162"/>
  <c r="BG40" i="162"/>
  <c r="BC40" i="162"/>
  <c r="AY40" i="162"/>
  <c r="AU40" i="162"/>
  <c r="AQ40" i="162"/>
  <c r="AM40" i="162"/>
  <c r="AI40" i="162"/>
  <c r="AE40" i="162"/>
  <c r="AA40" i="162"/>
  <c r="W40" i="162"/>
  <c r="S40" i="162"/>
  <c r="O40" i="162"/>
  <c r="J40" i="162"/>
  <c r="BW39" i="162"/>
  <c r="BS39" i="162"/>
  <c r="BO39" i="162"/>
  <c r="BK39" i="162"/>
  <c r="BG39" i="162"/>
  <c r="BC39" i="162"/>
  <c r="AY39" i="162"/>
  <c r="AU39" i="162"/>
  <c r="AQ39" i="162"/>
  <c r="AM39" i="162"/>
  <c r="AI39" i="162"/>
  <c r="AE39" i="162"/>
  <c r="AA39" i="162"/>
  <c r="W39" i="162"/>
  <c r="S39" i="162"/>
  <c r="O39" i="162"/>
  <c r="J39" i="162"/>
  <c r="BW38" i="162"/>
  <c r="BS38" i="162"/>
  <c r="BO38" i="162"/>
  <c r="BK38" i="162"/>
  <c r="BG38" i="162"/>
  <c r="BC38" i="162"/>
  <c r="AY38" i="162"/>
  <c r="AU38" i="162"/>
  <c r="AQ38" i="162"/>
  <c r="AM38" i="162"/>
  <c r="AI38" i="162"/>
  <c r="AE38" i="162"/>
  <c r="AA38" i="162"/>
  <c r="W38" i="162"/>
  <c r="S38" i="162"/>
  <c r="O38" i="162"/>
  <c r="J38" i="162"/>
  <c r="BW37" i="162"/>
  <c r="BS37" i="162"/>
  <c r="BO37" i="162"/>
  <c r="BK37" i="162"/>
  <c r="BG37" i="162"/>
  <c r="BC37" i="162"/>
  <c r="AY37" i="162"/>
  <c r="AU37" i="162"/>
  <c r="AQ37" i="162"/>
  <c r="AM37" i="162"/>
  <c r="AI37" i="162"/>
  <c r="AE37" i="162"/>
  <c r="AA37" i="162"/>
  <c r="W37" i="162"/>
  <c r="S37" i="162"/>
  <c r="O37" i="162"/>
  <c r="J37" i="162"/>
  <c r="BW36" i="162"/>
  <c r="BS36" i="162"/>
  <c r="BO36" i="162"/>
  <c r="BK36" i="162"/>
  <c r="BG36" i="162"/>
  <c r="BC36" i="162"/>
  <c r="AY36" i="162"/>
  <c r="AU36" i="162"/>
  <c r="AQ36" i="162"/>
  <c r="AM36" i="162"/>
  <c r="AI36" i="162"/>
  <c r="AE36" i="162"/>
  <c r="AA36" i="162"/>
  <c r="W36" i="162"/>
  <c r="S36" i="162"/>
  <c r="O36" i="162"/>
  <c r="J36" i="162"/>
  <c r="BW35" i="162"/>
  <c r="BS35" i="162"/>
  <c r="BO35" i="162"/>
  <c r="BK35" i="162"/>
  <c r="BG35" i="162"/>
  <c r="BC35" i="162"/>
  <c r="AY35" i="162"/>
  <c r="AU35" i="162"/>
  <c r="AQ35" i="162"/>
  <c r="AM35" i="162"/>
  <c r="AI35" i="162"/>
  <c r="AE35" i="162"/>
  <c r="AA35" i="162"/>
  <c r="W35" i="162"/>
  <c r="S35" i="162"/>
  <c r="O35" i="162"/>
  <c r="J35" i="162"/>
  <c r="BW34" i="162"/>
  <c r="BS34" i="162"/>
  <c r="BO34" i="162"/>
  <c r="BK34" i="162"/>
  <c r="BG34" i="162"/>
  <c r="BC34" i="162"/>
  <c r="AY34" i="162"/>
  <c r="AU34" i="162"/>
  <c r="AQ34" i="162"/>
  <c r="AM34" i="162"/>
  <c r="AI34" i="162"/>
  <c r="AE34" i="162"/>
  <c r="AA34" i="162"/>
  <c r="W34" i="162"/>
  <c r="S34" i="162"/>
  <c r="O34" i="162"/>
  <c r="J34" i="162"/>
  <c r="BW33" i="162"/>
  <c r="BS33" i="162"/>
  <c r="BO33" i="162"/>
  <c r="BK33" i="162"/>
  <c r="BG33" i="162"/>
  <c r="BC33" i="162"/>
  <c r="AY33" i="162"/>
  <c r="AU33" i="162"/>
  <c r="AQ33" i="162"/>
  <c r="AM33" i="162"/>
  <c r="AI33" i="162"/>
  <c r="AE33" i="162"/>
  <c r="AA33" i="162"/>
  <c r="W33" i="162"/>
  <c r="S33" i="162"/>
  <c r="O33" i="162"/>
  <c r="J33" i="162"/>
  <c r="BW32" i="162"/>
  <c r="BS32" i="162"/>
  <c r="BO32" i="162"/>
  <c r="BK32" i="162"/>
  <c r="BG32" i="162"/>
  <c r="BC32" i="162"/>
  <c r="AY32" i="162"/>
  <c r="AU32" i="162"/>
  <c r="AQ32" i="162"/>
  <c r="AM32" i="162"/>
  <c r="AI32" i="162"/>
  <c r="AE32" i="162"/>
  <c r="AA32" i="162"/>
  <c r="W32" i="162"/>
  <c r="S32" i="162"/>
  <c r="O32" i="162"/>
  <c r="J32" i="162"/>
  <c r="BW31" i="162"/>
  <c r="BS31" i="162"/>
  <c r="BO31" i="162"/>
  <c r="BK31" i="162"/>
  <c r="BG31" i="162"/>
  <c r="BC31" i="162"/>
  <c r="AY31" i="162"/>
  <c r="AU31" i="162"/>
  <c r="AQ31" i="162"/>
  <c r="AM31" i="162"/>
  <c r="AI31" i="162"/>
  <c r="AE31" i="162"/>
  <c r="AA31" i="162"/>
  <c r="W31" i="162"/>
  <c r="S31" i="162"/>
  <c r="O31" i="162"/>
  <c r="J31" i="162"/>
  <c r="BW30" i="162"/>
  <c r="BS30" i="162"/>
  <c r="BO30" i="162"/>
  <c r="BK30" i="162"/>
  <c r="BG30" i="162"/>
  <c r="BC30" i="162"/>
  <c r="AY30" i="162"/>
  <c r="AU30" i="162"/>
  <c r="AQ30" i="162"/>
  <c r="AM30" i="162"/>
  <c r="AI30" i="162"/>
  <c r="AE30" i="162"/>
  <c r="AA30" i="162"/>
  <c r="W30" i="162"/>
  <c r="S30" i="162"/>
  <c r="O30" i="162"/>
  <c r="J30" i="162"/>
  <c r="BW29" i="162"/>
  <c r="BS29" i="162"/>
  <c r="BO29" i="162"/>
  <c r="BK29" i="162"/>
  <c r="BG29" i="162"/>
  <c r="BC29" i="162"/>
  <c r="AY29" i="162"/>
  <c r="AU29" i="162"/>
  <c r="AQ29" i="162"/>
  <c r="AM29" i="162"/>
  <c r="AI29" i="162"/>
  <c r="AE29" i="162"/>
  <c r="AA29" i="162"/>
  <c r="W29" i="162"/>
  <c r="S29" i="162"/>
  <c r="O29" i="162"/>
  <c r="J29" i="162"/>
  <c r="BW28" i="162"/>
  <c r="BS28" i="162"/>
  <c r="BO28" i="162"/>
  <c r="BK28" i="162"/>
  <c r="BG28" i="162"/>
  <c r="BC28" i="162"/>
  <c r="AY28" i="162"/>
  <c r="AU28" i="162"/>
  <c r="AQ28" i="162"/>
  <c r="AM28" i="162"/>
  <c r="AI28" i="162"/>
  <c r="AE28" i="162"/>
  <c r="AA28" i="162"/>
  <c r="W28" i="162"/>
  <c r="S28" i="162"/>
  <c r="O28" i="162"/>
  <c r="J28" i="162"/>
  <c r="BW27" i="162"/>
  <c r="BS27" i="162"/>
  <c r="BO27" i="162"/>
  <c r="BK27" i="162"/>
  <c r="BG27" i="162"/>
  <c r="BC27" i="162"/>
  <c r="AY27" i="162"/>
  <c r="AU27" i="162"/>
  <c r="AQ27" i="162"/>
  <c r="AM27" i="162"/>
  <c r="AI27" i="162"/>
  <c r="AE27" i="162"/>
  <c r="AA27" i="162"/>
  <c r="W27" i="162"/>
  <c r="S27" i="162"/>
  <c r="O27" i="162"/>
  <c r="J27" i="162"/>
  <c r="BW26" i="162"/>
  <c r="BS26" i="162"/>
  <c r="BO26" i="162"/>
  <c r="BK26" i="162"/>
  <c r="BG26" i="162"/>
  <c r="BC26" i="162"/>
  <c r="AY26" i="162"/>
  <c r="AU26" i="162"/>
  <c r="AQ26" i="162"/>
  <c r="AM26" i="162"/>
  <c r="AI26" i="162"/>
  <c r="AE26" i="162"/>
  <c r="AA26" i="162"/>
  <c r="W26" i="162"/>
  <c r="S26" i="162"/>
  <c r="O26" i="162"/>
  <c r="J26" i="162"/>
  <c r="BW25" i="162"/>
  <c r="BS25" i="162"/>
  <c r="BO25" i="162"/>
  <c r="BK25" i="162"/>
  <c r="BG25" i="162"/>
  <c r="BC25" i="162"/>
  <c r="AY25" i="162"/>
  <c r="AU25" i="162"/>
  <c r="AQ25" i="162"/>
  <c r="AM25" i="162"/>
  <c r="AI25" i="162"/>
  <c r="AE25" i="162"/>
  <c r="AA25" i="162"/>
  <c r="W25" i="162"/>
  <c r="S25" i="162"/>
  <c r="O25" i="162"/>
  <c r="J25" i="162"/>
  <c r="BW24" i="162"/>
  <c r="BS24" i="162"/>
  <c r="BO24" i="162"/>
  <c r="BK24" i="162"/>
  <c r="BG24" i="162"/>
  <c r="BC24" i="162"/>
  <c r="AY24" i="162"/>
  <c r="AU24" i="162"/>
  <c r="AQ24" i="162"/>
  <c r="AM24" i="162"/>
  <c r="AI24" i="162"/>
  <c r="AE24" i="162"/>
  <c r="AA24" i="162"/>
  <c r="W24" i="162"/>
  <c r="S24" i="162"/>
  <c r="O24" i="162"/>
  <c r="J24" i="162"/>
  <c r="BW23" i="162"/>
  <c r="BS23" i="162"/>
  <c r="BO23" i="162"/>
  <c r="BK23" i="162"/>
  <c r="BG23" i="162"/>
  <c r="BC23" i="162"/>
  <c r="AY23" i="162"/>
  <c r="AU23" i="162"/>
  <c r="AQ23" i="162"/>
  <c r="AM23" i="162"/>
  <c r="AI23" i="162"/>
  <c r="AE23" i="162"/>
  <c r="AA23" i="162"/>
  <c r="W23" i="162"/>
  <c r="S23" i="162"/>
  <c r="O23" i="162"/>
  <c r="J23" i="162"/>
  <c r="BW22" i="162"/>
  <c r="BS22" i="162"/>
  <c r="BO22" i="162"/>
  <c r="BK22" i="162"/>
  <c r="BG22" i="162"/>
  <c r="BC22" i="162"/>
  <c r="AY22" i="162"/>
  <c r="AU22" i="162"/>
  <c r="AQ22" i="162"/>
  <c r="AM22" i="162"/>
  <c r="AI22" i="162"/>
  <c r="AE22" i="162"/>
  <c r="AA22" i="162"/>
  <c r="W22" i="162"/>
  <c r="S22" i="162"/>
  <c r="O22" i="162"/>
  <c r="J22" i="162"/>
  <c r="BW21" i="162"/>
  <c r="BS21" i="162"/>
  <c r="BO21" i="162"/>
  <c r="BK21" i="162"/>
  <c r="BG21" i="162"/>
  <c r="BC21" i="162"/>
  <c r="AY21" i="162"/>
  <c r="AU21" i="162"/>
  <c r="AQ21" i="162"/>
  <c r="AM21" i="162"/>
  <c r="AI21" i="162"/>
  <c r="AE21" i="162"/>
  <c r="AA21" i="162"/>
  <c r="W21" i="162"/>
  <c r="S21" i="162"/>
  <c r="O21" i="162"/>
  <c r="J21" i="162"/>
  <c r="BW20" i="162"/>
  <c r="BS20" i="162"/>
  <c r="BO20" i="162"/>
  <c r="BK20" i="162"/>
  <c r="BG20" i="162"/>
  <c r="BC20" i="162"/>
  <c r="AY20" i="162"/>
  <c r="AU20" i="162"/>
  <c r="AQ20" i="162"/>
  <c r="AM20" i="162"/>
  <c r="AI20" i="162"/>
  <c r="AE20" i="162"/>
  <c r="AA20" i="162"/>
  <c r="W20" i="162"/>
  <c r="S20" i="162"/>
  <c r="O20" i="162"/>
  <c r="J20" i="162"/>
  <c r="BW19" i="162"/>
  <c r="BS19" i="162"/>
  <c r="BO19" i="162"/>
  <c r="BK19" i="162"/>
  <c r="BG19" i="162"/>
  <c r="BC19" i="162"/>
  <c r="AY19" i="162"/>
  <c r="AU19" i="162"/>
  <c r="AQ19" i="162"/>
  <c r="AM19" i="162"/>
  <c r="AI19" i="162"/>
  <c r="AE19" i="162"/>
  <c r="AA19" i="162"/>
  <c r="W19" i="162"/>
  <c r="S19" i="162"/>
  <c r="O19" i="162"/>
  <c r="J19" i="162"/>
  <c r="BW18" i="162"/>
  <c r="BS18" i="162"/>
  <c r="BO18" i="162"/>
  <c r="BK18" i="162"/>
  <c r="BG18" i="162"/>
  <c r="BC18" i="162"/>
  <c r="AY18" i="162"/>
  <c r="AU18" i="162"/>
  <c r="AQ18" i="162"/>
  <c r="AM18" i="162"/>
  <c r="AI18" i="162"/>
  <c r="AE18" i="162"/>
  <c r="AA18" i="162"/>
  <c r="W18" i="162"/>
  <c r="S18" i="162"/>
  <c r="O18" i="162"/>
  <c r="J18" i="162"/>
  <c r="BW17" i="162"/>
  <c r="BS17" i="162"/>
  <c r="BO17" i="162"/>
  <c r="BK17" i="162"/>
  <c r="BG17" i="162"/>
  <c r="BC17" i="162"/>
  <c r="AY17" i="162"/>
  <c r="AU17" i="162"/>
  <c r="AQ17" i="162"/>
  <c r="AM17" i="162"/>
  <c r="AI17" i="162"/>
  <c r="AE17" i="162"/>
  <c r="AA17" i="162"/>
  <c r="W17" i="162"/>
  <c r="S17" i="162"/>
  <c r="O17" i="162"/>
  <c r="J17" i="162"/>
  <c r="BW16" i="162"/>
  <c r="BS16" i="162"/>
  <c r="BO16" i="162"/>
  <c r="BK16" i="162"/>
  <c r="BG16" i="162"/>
  <c r="BC16" i="162"/>
  <c r="AY16" i="162"/>
  <c r="AU16" i="162"/>
  <c r="AQ16" i="162"/>
  <c r="AM16" i="162"/>
  <c r="AI16" i="162"/>
  <c r="AE16" i="162"/>
  <c r="AA16" i="162"/>
  <c r="W16" i="162"/>
  <c r="S16" i="162"/>
  <c r="O16" i="162"/>
  <c r="J16" i="162"/>
  <c r="BW15" i="162"/>
  <c r="BS15" i="162"/>
  <c r="BO15" i="162"/>
  <c r="BK15" i="162"/>
  <c r="BG15" i="162"/>
  <c r="BC15" i="162"/>
  <c r="AY15" i="162"/>
  <c r="AU15" i="162"/>
  <c r="AQ15" i="162"/>
  <c r="AM15" i="162"/>
  <c r="AI15" i="162"/>
  <c r="AE15" i="162"/>
  <c r="AA15" i="162"/>
  <c r="W15" i="162"/>
  <c r="S15" i="162"/>
  <c r="O15" i="162"/>
  <c r="J15" i="162"/>
  <c r="BW14" i="162"/>
  <c r="BS14" i="162"/>
  <c r="BO14" i="162"/>
  <c r="BK14" i="162"/>
  <c r="BG14" i="162"/>
  <c r="BC14" i="162"/>
  <c r="AY14" i="162"/>
  <c r="AU14" i="162"/>
  <c r="AQ14" i="162"/>
  <c r="AM14" i="162"/>
  <c r="AI14" i="162"/>
  <c r="AE14" i="162"/>
  <c r="AA14" i="162"/>
  <c r="W14" i="162"/>
  <c r="S14" i="162"/>
  <c r="O14" i="162"/>
  <c r="J14" i="162"/>
  <c r="BW13" i="162"/>
  <c r="BS13" i="162"/>
  <c r="BO13" i="162"/>
  <c r="BK13" i="162"/>
  <c r="BG13" i="162"/>
  <c r="BC13" i="162"/>
  <c r="AY13" i="162"/>
  <c r="AU13" i="162"/>
  <c r="AQ13" i="162"/>
  <c r="AM13" i="162"/>
  <c r="AI13" i="162"/>
  <c r="AE13" i="162"/>
  <c r="AA13" i="162"/>
  <c r="W13" i="162"/>
  <c r="S13" i="162"/>
  <c r="O13" i="162"/>
  <c r="J13" i="162"/>
  <c r="BW12" i="162"/>
  <c r="BS12" i="162"/>
  <c r="BO12" i="162"/>
  <c r="BK12" i="162"/>
  <c r="BG12" i="162"/>
  <c r="BC12" i="162"/>
  <c r="AY12" i="162"/>
  <c r="AU12" i="162"/>
  <c r="AQ12" i="162"/>
  <c r="AM12" i="162"/>
  <c r="AI12" i="162"/>
  <c r="AE12" i="162"/>
  <c r="AA12" i="162"/>
  <c r="W12" i="162"/>
  <c r="S12" i="162"/>
  <c r="O12" i="162"/>
  <c r="J12" i="162"/>
  <c r="BW11" i="162"/>
  <c r="BS11" i="162"/>
  <c r="BO11" i="162"/>
  <c r="BK11" i="162"/>
  <c r="BG11" i="162"/>
  <c r="BC11" i="162"/>
  <c r="AY11" i="162"/>
  <c r="AU11" i="162"/>
  <c r="AQ11" i="162"/>
  <c r="AM11" i="162"/>
  <c r="AI11" i="162"/>
  <c r="AE11" i="162"/>
  <c r="AA11" i="162"/>
  <c r="W11" i="162"/>
  <c r="S11" i="162"/>
  <c r="O11" i="162"/>
  <c r="J11" i="162"/>
  <c r="BW10" i="162"/>
  <c r="BS10" i="162"/>
  <c r="BO10" i="162"/>
  <c r="BK10" i="162"/>
  <c r="BG10" i="162"/>
  <c r="BC10" i="162"/>
  <c r="AY10" i="162"/>
  <c r="AU10" i="162"/>
  <c r="AQ10" i="162"/>
  <c r="AM10" i="162"/>
  <c r="AI10" i="162"/>
  <c r="AE10" i="162"/>
  <c r="AA10" i="162"/>
  <c r="W10" i="162"/>
  <c r="S10" i="162"/>
  <c r="O10" i="162"/>
  <c r="J10" i="162"/>
  <c r="BW9" i="162"/>
  <c r="BS9" i="162"/>
  <c r="BO9" i="162"/>
  <c r="BK9" i="162"/>
  <c r="BG9" i="162"/>
  <c r="BC9" i="162"/>
  <c r="AY9" i="162"/>
  <c r="AU9" i="162"/>
  <c r="AQ9" i="162"/>
  <c r="AM9" i="162"/>
  <c r="AI9" i="162"/>
  <c r="AE9" i="162"/>
  <c r="AA9" i="162"/>
  <c r="W9" i="162"/>
  <c r="S9" i="162"/>
  <c r="O9" i="162"/>
  <c r="J9" i="162"/>
  <c r="BW8" i="162"/>
  <c r="BS8" i="162"/>
  <c r="BO8" i="162"/>
  <c r="BK8" i="162"/>
  <c r="BG8" i="162"/>
  <c r="BC8" i="162"/>
  <c r="AY8" i="162"/>
  <c r="AU8" i="162"/>
  <c r="AQ8" i="162"/>
  <c r="AM8" i="162"/>
  <c r="AI8" i="162"/>
  <c r="AE8" i="162"/>
  <c r="AA8" i="162"/>
  <c r="W8" i="162"/>
  <c r="S8" i="162"/>
  <c r="O8" i="162"/>
  <c r="J8" i="162"/>
  <c r="BW7" i="162"/>
  <c r="BS7" i="162"/>
  <c r="BO7" i="162"/>
  <c r="BK7" i="162"/>
  <c r="BG7" i="162"/>
  <c r="BC7" i="162"/>
  <c r="AY7" i="162"/>
  <c r="AU7" i="162"/>
  <c r="AQ7" i="162"/>
  <c r="AM7" i="162"/>
  <c r="AI7" i="162"/>
  <c r="AE7" i="162"/>
  <c r="AA7" i="162"/>
  <c r="W7" i="162"/>
  <c r="S7" i="162"/>
  <c r="O7" i="162"/>
  <c r="J7" i="162"/>
  <c r="BR6" i="162"/>
  <c r="BS6" i="162" s="1"/>
  <c r="BQ6" i="162"/>
  <c r="BP6" i="162"/>
  <c r="BL6" i="162"/>
  <c r="BF6" i="162"/>
  <c r="BG6" i="162" s="1"/>
  <c r="BD6" i="162"/>
  <c r="AZ6" i="162"/>
  <c r="AT6" i="162"/>
  <c r="AU6" i="162" s="1"/>
  <c r="AS6" i="162"/>
  <c r="AR6" i="162"/>
  <c r="AN6" i="162"/>
  <c r="AH6" i="162"/>
  <c r="AI6" i="162" s="1"/>
  <c r="AF6" i="162"/>
  <c r="V6" i="162"/>
  <c r="W6" i="162" s="1"/>
  <c r="U6" i="162"/>
  <c r="T6" i="162"/>
  <c r="P6" i="162"/>
  <c r="BT5" i="162"/>
  <c r="BW5" i="162" s="1"/>
  <c r="BP5" i="162"/>
  <c r="BS5" i="162" s="1"/>
  <c r="BH5" i="162"/>
  <c r="BK5" i="162" s="1"/>
  <c r="AV5" i="162"/>
  <c r="AY5" i="162" s="1"/>
  <c r="AR5" i="162"/>
  <c r="AU5" i="162" s="1"/>
  <c r="AJ5" i="162"/>
  <c r="AM5" i="162" s="1"/>
  <c r="X5" i="162"/>
  <c r="AA5" i="162" s="1"/>
  <c r="T5" i="162"/>
  <c r="W5" i="162" s="1"/>
  <c r="L5" i="162"/>
  <c r="O5" i="162" s="1"/>
  <c r="BT4" i="162"/>
  <c r="BS4" i="162"/>
  <c r="BV6" i="162" s="1"/>
  <c r="BW6" i="162" s="1"/>
  <c r="BP4" i="162"/>
  <c r="BO4" i="162"/>
  <c r="BK4" i="162"/>
  <c r="BL4" i="162" s="1"/>
  <c r="BG4" i="162"/>
  <c r="BH4" i="162" s="1"/>
  <c r="BC4" i="162"/>
  <c r="BE6" i="162" s="1"/>
  <c r="AY4" i="162"/>
  <c r="BB6" i="162" s="1"/>
  <c r="BC6" i="162" s="1"/>
  <c r="AV4" i="162"/>
  <c r="AU4" i="162"/>
  <c r="AX6" i="162" s="1"/>
  <c r="AY6" i="162" s="1"/>
  <c r="AR4" i="162"/>
  <c r="AQ4" i="162"/>
  <c r="AM4" i="162"/>
  <c r="AP6" i="162" s="1"/>
  <c r="AQ6" i="162" s="1"/>
  <c r="AI4" i="162"/>
  <c r="AJ4" i="162" s="1"/>
  <c r="AE4" i="162"/>
  <c r="AG6" i="162" s="1"/>
  <c r="AA4" i="162"/>
  <c r="AD6" i="162" s="1"/>
  <c r="AE6" i="162" s="1"/>
  <c r="X4" i="162"/>
  <c r="W4" i="162"/>
  <c r="Z6" i="162" s="1"/>
  <c r="AA6" i="162" s="1"/>
  <c r="T4" i="162"/>
  <c r="S4" i="162"/>
  <c r="O4" i="162"/>
  <c r="P4" i="162" s="1"/>
  <c r="K4" i="162"/>
  <c r="L4" i="162" s="1"/>
  <c r="J4" i="162"/>
  <c r="BT3" i="162"/>
  <c r="BP3" i="162"/>
  <c r="BL3" i="162"/>
  <c r="BH3" i="162"/>
  <c r="BD3" i="162"/>
  <c r="AZ3" i="162"/>
  <c r="AV3" i="162"/>
  <c r="AR3" i="162"/>
  <c r="AN3" i="162"/>
  <c r="AJ3" i="162"/>
  <c r="AF3" i="162"/>
  <c r="AB3" i="162"/>
  <c r="X3" i="162"/>
  <c r="T3" i="162"/>
  <c r="P3" i="162"/>
  <c r="L3" i="162"/>
  <c r="J3" i="162"/>
  <c r="J2" i="162"/>
  <c r="F1" i="162"/>
  <c r="BW82" i="161"/>
  <c r="BS82" i="161"/>
  <c r="BO82" i="161"/>
  <c r="BK82" i="161"/>
  <c r="BG82" i="161"/>
  <c r="BC82" i="161"/>
  <c r="AY82" i="161"/>
  <c r="AU82" i="161"/>
  <c r="AQ82" i="161"/>
  <c r="AM82" i="161"/>
  <c r="AI82" i="161"/>
  <c r="AE82" i="161"/>
  <c r="AA82" i="161"/>
  <c r="W82" i="161"/>
  <c r="S82" i="161"/>
  <c r="O82" i="161"/>
  <c r="J82" i="161"/>
  <c r="BW81" i="161"/>
  <c r="BS81" i="161"/>
  <c r="BO81" i="161"/>
  <c r="BK81" i="161"/>
  <c r="BG81" i="161"/>
  <c r="BC81" i="161"/>
  <c r="AY81" i="161"/>
  <c r="AU81" i="161"/>
  <c r="AQ81" i="161"/>
  <c r="AM81" i="161"/>
  <c r="AI81" i="161"/>
  <c r="AE81" i="161"/>
  <c r="AA81" i="161"/>
  <c r="W81" i="161"/>
  <c r="S81" i="161"/>
  <c r="O81" i="161"/>
  <c r="J81" i="161"/>
  <c r="BW80" i="161"/>
  <c r="BS80" i="161"/>
  <c r="BO80" i="161"/>
  <c r="BK80" i="161"/>
  <c r="BG80" i="161"/>
  <c r="BC80" i="161"/>
  <c r="AY80" i="161"/>
  <c r="AU80" i="161"/>
  <c r="AQ80" i="161"/>
  <c r="AM80" i="161"/>
  <c r="AI80" i="161"/>
  <c r="AE80" i="161"/>
  <c r="AA80" i="161"/>
  <c r="W80" i="161"/>
  <c r="S80" i="161"/>
  <c r="O80" i="161"/>
  <c r="J80" i="161"/>
  <c r="BW79" i="161"/>
  <c r="BS79" i="161"/>
  <c r="BO79" i="161"/>
  <c r="BK79" i="161"/>
  <c r="BG79" i="161"/>
  <c r="BC79" i="161"/>
  <c r="AY79" i="161"/>
  <c r="AU79" i="161"/>
  <c r="AQ79" i="161"/>
  <c r="AM79" i="161"/>
  <c r="AI79" i="161"/>
  <c r="AE79" i="161"/>
  <c r="AA79" i="161"/>
  <c r="W79" i="161"/>
  <c r="S79" i="161"/>
  <c r="O79" i="161"/>
  <c r="J79" i="161"/>
  <c r="BW78" i="161"/>
  <c r="BS78" i="161"/>
  <c r="BO78" i="161"/>
  <c r="BK78" i="161"/>
  <c r="BG78" i="161"/>
  <c r="BC78" i="161"/>
  <c r="AY78" i="161"/>
  <c r="AU78" i="161"/>
  <c r="AQ78" i="161"/>
  <c r="AM78" i="161"/>
  <c r="AI78" i="161"/>
  <c r="AE78" i="161"/>
  <c r="AA78" i="161"/>
  <c r="W78" i="161"/>
  <c r="S78" i="161"/>
  <c r="O78" i="161"/>
  <c r="J78" i="161"/>
  <c r="BW77" i="161"/>
  <c r="BS77" i="161"/>
  <c r="BO77" i="161"/>
  <c r="BK77" i="161"/>
  <c r="BG77" i="161"/>
  <c r="BC77" i="161"/>
  <c r="AY77" i="161"/>
  <c r="AU77" i="161"/>
  <c r="AQ77" i="161"/>
  <c r="AM77" i="161"/>
  <c r="AI77" i="161"/>
  <c r="AE77" i="161"/>
  <c r="AA77" i="161"/>
  <c r="W77" i="161"/>
  <c r="S77" i="161"/>
  <c r="O77" i="161"/>
  <c r="J77" i="161"/>
  <c r="BW76" i="161"/>
  <c r="BS76" i="161"/>
  <c r="BO76" i="161"/>
  <c r="BK76" i="161"/>
  <c r="BG76" i="161"/>
  <c r="BC76" i="161"/>
  <c r="AY76" i="161"/>
  <c r="AU76" i="161"/>
  <c r="AQ76" i="161"/>
  <c r="AM76" i="161"/>
  <c r="AI76" i="161"/>
  <c r="AE76" i="161"/>
  <c r="AA76" i="161"/>
  <c r="W76" i="161"/>
  <c r="S76" i="161"/>
  <c r="O76" i="161"/>
  <c r="J76" i="161"/>
  <c r="BW75" i="161"/>
  <c r="BS75" i="161"/>
  <c r="BO75" i="161"/>
  <c r="BK75" i="161"/>
  <c r="BG75" i="161"/>
  <c r="BC75" i="161"/>
  <c r="AY75" i="161"/>
  <c r="AU75" i="161"/>
  <c r="AQ75" i="161"/>
  <c r="AM75" i="161"/>
  <c r="AI75" i="161"/>
  <c r="AE75" i="161"/>
  <c r="AA75" i="161"/>
  <c r="W75" i="161"/>
  <c r="S75" i="161"/>
  <c r="O75" i="161"/>
  <c r="J75" i="161"/>
  <c r="BW74" i="161"/>
  <c r="BS74" i="161"/>
  <c r="BO74" i="161"/>
  <c r="BK74" i="161"/>
  <c r="BG74" i="161"/>
  <c r="BC74" i="161"/>
  <c r="AY74" i="161"/>
  <c r="AU74" i="161"/>
  <c r="AQ74" i="161"/>
  <c r="AM74" i="161"/>
  <c r="AI74" i="161"/>
  <c r="AE74" i="161"/>
  <c r="AA74" i="161"/>
  <c r="W74" i="161"/>
  <c r="S74" i="161"/>
  <c r="O74" i="161"/>
  <c r="J74" i="161"/>
  <c r="BW73" i="161"/>
  <c r="BS73" i="161"/>
  <c r="BO73" i="161"/>
  <c r="BK73" i="161"/>
  <c r="BG73" i="161"/>
  <c r="BC73" i="161"/>
  <c r="AY73" i="161"/>
  <c r="AU73" i="161"/>
  <c r="AQ73" i="161"/>
  <c r="AM73" i="161"/>
  <c r="AI73" i="161"/>
  <c r="AE73" i="161"/>
  <c r="AA73" i="161"/>
  <c r="W73" i="161"/>
  <c r="S73" i="161"/>
  <c r="O73" i="161"/>
  <c r="J73" i="161"/>
  <c r="BW72" i="161"/>
  <c r="BS72" i="161"/>
  <c r="BO72" i="161"/>
  <c r="BK72" i="161"/>
  <c r="BG72" i="161"/>
  <c r="BC72" i="161"/>
  <c r="AY72" i="161"/>
  <c r="AU72" i="161"/>
  <c r="AQ72" i="161"/>
  <c r="AM72" i="161"/>
  <c r="AI72" i="161"/>
  <c r="AE72" i="161"/>
  <c r="AA72" i="161"/>
  <c r="W72" i="161"/>
  <c r="S72" i="161"/>
  <c r="O72" i="161"/>
  <c r="J72" i="161"/>
  <c r="BW71" i="161"/>
  <c r="BS71" i="161"/>
  <c r="BO71" i="161"/>
  <c r="BK71" i="161"/>
  <c r="BG71" i="161"/>
  <c r="BC71" i="161"/>
  <c r="AY71" i="161"/>
  <c r="AU71" i="161"/>
  <c r="AQ71" i="161"/>
  <c r="AM71" i="161"/>
  <c r="AI71" i="161"/>
  <c r="AE71" i="161"/>
  <c r="AA71" i="161"/>
  <c r="W71" i="161"/>
  <c r="S71" i="161"/>
  <c r="O71" i="161"/>
  <c r="J71" i="161"/>
  <c r="BW70" i="161"/>
  <c r="BS70" i="161"/>
  <c r="BO70" i="161"/>
  <c r="BK70" i="161"/>
  <c r="BG70" i="161"/>
  <c r="BC70" i="161"/>
  <c r="AY70" i="161"/>
  <c r="AU70" i="161"/>
  <c r="AQ70" i="161"/>
  <c r="AM70" i="161"/>
  <c r="AI70" i="161"/>
  <c r="AE70" i="161"/>
  <c r="AA70" i="161"/>
  <c r="W70" i="161"/>
  <c r="S70" i="161"/>
  <c r="O70" i="161"/>
  <c r="J70" i="161"/>
  <c r="BW69" i="161"/>
  <c r="BS69" i="161"/>
  <c r="BO69" i="161"/>
  <c r="BK69" i="161"/>
  <c r="BG69" i="161"/>
  <c r="BC69" i="161"/>
  <c r="AY69" i="161"/>
  <c r="AU69" i="161"/>
  <c r="AQ69" i="161"/>
  <c r="AM69" i="161"/>
  <c r="AI69" i="161"/>
  <c r="AE69" i="161"/>
  <c r="AA69" i="161"/>
  <c r="W69" i="161"/>
  <c r="S69" i="161"/>
  <c r="O69" i="161"/>
  <c r="J69" i="161"/>
  <c r="BW68" i="161"/>
  <c r="BS68" i="161"/>
  <c r="BO68" i="161"/>
  <c r="BK68" i="161"/>
  <c r="BG68" i="161"/>
  <c r="BC68" i="161"/>
  <c r="AY68" i="161"/>
  <c r="AU68" i="161"/>
  <c r="AQ68" i="161"/>
  <c r="AM68" i="161"/>
  <c r="AI68" i="161"/>
  <c r="AE68" i="161"/>
  <c r="AA68" i="161"/>
  <c r="W68" i="161"/>
  <c r="S68" i="161"/>
  <c r="O68" i="161"/>
  <c r="J68" i="161"/>
  <c r="BW67" i="161"/>
  <c r="BS67" i="161"/>
  <c r="BO67" i="161"/>
  <c r="BK67" i="161"/>
  <c r="BG67" i="161"/>
  <c r="BC67" i="161"/>
  <c r="AY67" i="161"/>
  <c r="AU67" i="161"/>
  <c r="AQ67" i="161"/>
  <c r="AM67" i="161"/>
  <c r="AI67" i="161"/>
  <c r="AE67" i="161"/>
  <c r="AA67" i="161"/>
  <c r="W67" i="161"/>
  <c r="S67" i="161"/>
  <c r="O67" i="161"/>
  <c r="J67" i="161"/>
  <c r="BW66" i="161"/>
  <c r="BS66" i="161"/>
  <c r="BO66" i="161"/>
  <c r="BK66" i="161"/>
  <c r="BG66" i="161"/>
  <c r="BC66" i="161"/>
  <c r="AY66" i="161"/>
  <c r="AU66" i="161"/>
  <c r="AQ66" i="161"/>
  <c r="AM66" i="161"/>
  <c r="AI66" i="161"/>
  <c r="AE66" i="161"/>
  <c r="AA66" i="161"/>
  <c r="W66" i="161"/>
  <c r="S66" i="161"/>
  <c r="O66" i="161"/>
  <c r="J66" i="161"/>
  <c r="BW65" i="161"/>
  <c r="BS65" i="161"/>
  <c r="BO65" i="161"/>
  <c r="BK65" i="161"/>
  <c r="BG65" i="161"/>
  <c r="BC65" i="161"/>
  <c r="AY65" i="161"/>
  <c r="AU65" i="161"/>
  <c r="AQ65" i="161"/>
  <c r="AM65" i="161"/>
  <c r="AI65" i="161"/>
  <c r="AE65" i="161"/>
  <c r="AA65" i="161"/>
  <c r="W65" i="161"/>
  <c r="S65" i="161"/>
  <c r="O65" i="161"/>
  <c r="J65" i="161"/>
  <c r="BW64" i="161"/>
  <c r="BS64" i="161"/>
  <c r="BO64" i="161"/>
  <c r="BK64" i="161"/>
  <c r="BG64" i="161"/>
  <c r="BC64" i="161"/>
  <c r="AY64" i="161"/>
  <c r="AU64" i="161"/>
  <c r="AQ64" i="161"/>
  <c r="AM64" i="161"/>
  <c r="AI64" i="161"/>
  <c r="AE64" i="161"/>
  <c r="AA64" i="161"/>
  <c r="W64" i="161"/>
  <c r="S64" i="161"/>
  <c r="O64" i="161"/>
  <c r="J64" i="161"/>
  <c r="BW63" i="161"/>
  <c r="BS63" i="161"/>
  <c r="BO63" i="161"/>
  <c r="BK63" i="161"/>
  <c r="BG63" i="161"/>
  <c r="BC63" i="161"/>
  <c r="AY63" i="161"/>
  <c r="AU63" i="161"/>
  <c r="AQ63" i="161"/>
  <c r="AM63" i="161"/>
  <c r="AI63" i="161"/>
  <c r="AE63" i="161"/>
  <c r="AA63" i="161"/>
  <c r="W63" i="161"/>
  <c r="S63" i="161"/>
  <c r="O63" i="161"/>
  <c r="J63" i="161"/>
  <c r="BW62" i="161"/>
  <c r="BS62" i="161"/>
  <c r="BO62" i="161"/>
  <c r="BK62" i="161"/>
  <c r="BG62" i="161"/>
  <c r="BC62" i="161"/>
  <c r="AY62" i="161"/>
  <c r="AU62" i="161"/>
  <c r="AQ62" i="161"/>
  <c r="AM62" i="161"/>
  <c r="AI62" i="161"/>
  <c r="AE62" i="161"/>
  <c r="AA62" i="161"/>
  <c r="W62" i="161"/>
  <c r="S62" i="161"/>
  <c r="O62" i="161"/>
  <c r="J62" i="161"/>
  <c r="BW61" i="161"/>
  <c r="BS61" i="161"/>
  <c r="BO61" i="161"/>
  <c r="BK61" i="161"/>
  <c r="BG61" i="161"/>
  <c r="BC61" i="161"/>
  <c r="AY61" i="161"/>
  <c r="AU61" i="161"/>
  <c r="AQ61" i="161"/>
  <c r="AM61" i="161"/>
  <c r="AI61" i="161"/>
  <c r="AE61" i="161"/>
  <c r="AA61" i="161"/>
  <c r="W61" i="161"/>
  <c r="S61" i="161"/>
  <c r="O61" i="161"/>
  <c r="J61" i="161"/>
  <c r="BW60" i="161"/>
  <c r="BS60" i="161"/>
  <c r="BO60" i="161"/>
  <c r="BK60" i="161"/>
  <c r="BG60" i="161"/>
  <c r="BC60" i="161"/>
  <c r="AY60" i="161"/>
  <c r="AU60" i="161"/>
  <c r="AQ60" i="161"/>
  <c r="AM60" i="161"/>
  <c r="AI60" i="161"/>
  <c r="AE60" i="161"/>
  <c r="AA60" i="161"/>
  <c r="W60" i="161"/>
  <c r="S60" i="161"/>
  <c r="O60" i="161"/>
  <c r="J60" i="161"/>
  <c r="BW59" i="161"/>
  <c r="BS59" i="161"/>
  <c r="BO59" i="161"/>
  <c r="BK59" i="161"/>
  <c r="BG59" i="161"/>
  <c r="BC59" i="161"/>
  <c r="AY59" i="161"/>
  <c r="AU59" i="161"/>
  <c r="AQ59" i="161"/>
  <c r="AM59" i="161"/>
  <c r="AI59" i="161"/>
  <c r="AE59" i="161"/>
  <c r="AA59" i="161"/>
  <c r="W59" i="161"/>
  <c r="S59" i="161"/>
  <c r="O59" i="161"/>
  <c r="J59" i="161"/>
  <c r="BW58" i="161"/>
  <c r="BS58" i="161"/>
  <c r="BO58" i="161"/>
  <c r="BK58" i="161"/>
  <c r="BG58" i="161"/>
  <c r="BC58" i="161"/>
  <c r="AY58" i="161"/>
  <c r="AU58" i="161"/>
  <c r="AQ58" i="161"/>
  <c r="AM58" i="161"/>
  <c r="AI58" i="161"/>
  <c r="AE58" i="161"/>
  <c r="AA58" i="161"/>
  <c r="W58" i="161"/>
  <c r="S58" i="161"/>
  <c r="O58" i="161"/>
  <c r="J58" i="161"/>
  <c r="BW57" i="161"/>
  <c r="BS57" i="161"/>
  <c r="BO57" i="161"/>
  <c r="BK57" i="161"/>
  <c r="BG57" i="161"/>
  <c r="BC57" i="161"/>
  <c r="AY57" i="161"/>
  <c r="AU57" i="161"/>
  <c r="AQ57" i="161"/>
  <c r="AM57" i="161"/>
  <c r="AI57" i="161"/>
  <c r="AE57" i="161"/>
  <c r="AA57" i="161"/>
  <c r="W57" i="161"/>
  <c r="S57" i="161"/>
  <c r="O57" i="161"/>
  <c r="J57" i="161"/>
  <c r="BW56" i="161"/>
  <c r="BS56" i="161"/>
  <c r="BO56" i="161"/>
  <c r="BK56" i="161"/>
  <c r="BG56" i="161"/>
  <c r="BC56" i="161"/>
  <c r="AY56" i="161"/>
  <c r="AU56" i="161"/>
  <c r="AQ56" i="161"/>
  <c r="AM56" i="161"/>
  <c r="AI56" i="161"/>
  <c r="AE56" i="161"/>
  <c r="AA56" i="161"/>
  <c r="W56" i="161"/>
  <c r="S56" i="161"/>
  <c r="O56" i="161"/>
  <c r="J56" i="161"/>
  <c r="BW55" i="161"/>
  <c r="BS55" i="161"/>
  <c r="BO55" i="161"/>
  <c r="BK55" i="161"/>
  <c r="BG55" i="161"/>
  <c r="BC55" i="161"/>
  <c r="AY55" i="161"/>
  <c r="AU55" i="161"/>
  <c r="AQ55" i="161"/>
  <c r="AM55" i="161"/>
  <c r="AI55" i="161"/>
  <c r="AE55" i="161"/>
  <c r="AA55" i="161"/>
  <c r="W55" i="161"/>
  <c r="S55" i="161"/>
  <c r="O55" i="161"/>
  <c r="J55" i="161"/>
  <c r="BW54" i="161"/>
  <c r="BS54" i="161"/>
  <c r="BO54" i="161"/>
  <c r="BK54" i="161"/>
  <c r="BG54" i="161"/>
  <c r="BC54" i="161"/>
  <c r="AY54" i="161"/>
  <c r="AU54" i="161"/>
  <c r="AQ54" i="161"/>
  <c r="AM54" i="161"/>
  <c r="AI54" i="161"/>
  <c r="AE54" i="161"/>
  <c r="AA54" i="161"/>
  <c r="W54" i="161"/>
  <c r="S54" i="161"/>
  <c r="O54" i="161"/>
  <c r="J54" i="161"/>
  <c r="BW53" i="161"/>
  <c r="BS53" i="161"/>
  <c r="BO53" i="161"/>
  <c r="BK53" i="161"/>
  <c r="BG53" i="161"/>
  <c r="BC53" i="161"/>
  <c r="AY53" i="161"/>
  <c r="AU53" i="161"/>
  <c r="AQ53" i="161"/>
  <c r="AM53" i="161"/>
  <c r="AI53" i="161"/>
  <c r="AE53" i="161"/>
  <c r="AA53" i="161"/>
  <c r="W53" i="161"/>
  <c r="S53" i="161"/>
  <c r="O53" i="161"/>
  <c r="J53" i="161"/>
  <c r="BW52" i="161"/>
  <c r="BS52" i="161"/>
  <c r="BO52" i="161"/>
  <c r="BK52" i="161"/>
  <c r="BG52" i="161"/>
  <c r="BC52" i="161"/>
  <c r="AY52" i="161"/>
  <c r="AU52" i="161"/>
  <c r="AQ52" i="161"/>
  <c r="AM52" i="161"/>
  <c r="AI52" i="161"/>
  <c r="AE52" i="161"/>
  <c r="AA52" i="161"/>
  <c r="W52" i="161"/>
  <c r="S52" i="161"/>
  <c r="O52" i="161"/>
  <c r="J52" i="161"/>
  <c r="BW51" i="161"/>
  <c r="BS51" i="161"/>
  <c r="BO51" i="161"/>
  <c r="BK51" i="161"/>
  <c r="BG51" i="161"/>
  <c r="BC51" i="161"/>
  <c r="AY51" i="161"/>
  <c r="AU51" i="161"/>
  <c r="AQ51" i="161"/>
  <c r="AM51" i="161"/>
  <c r="AI51" i="161"/>
  <c r="AE51" i="161"/>
  <c r="AA51" i="161"/>
  <c r="W51" i="161"/>
  <c r="S51" i="161"/>
  <c r="O51" i="161"/>
  <c r="J51" i="161"/>
  <c r="BW50" i="161"/>
  <c r="BS50" i="161"/>
  <c r="BO50" i="161"/>
  <c r="BK50" i="161"/>
  <c r="BG50" i="161"/>
  <c r="BC50" i="161"/>
  <c r="AY50" i="161"/>
  <c r="AU50" i="161"/>
  <c r="AQ50" i="161"/>
  <c r="AM50" i="161"/>
  <c r="AI50" i="161"/>
  <c r="AE50" i="161"/>
  <c r="AA50" i="161"/>
  <c r="W50" i="161"/>
  <c r="S50" i="161"/>
  <c r="O50" i="161"/>
  <c r="J50" i="161"/>
  <c r="BW49" i="161"/>
  <c r="BS49" i="161"/>
  <c r="BO49" i="161"/>
  <c r="BK49" i="161"/>
  <c r="BG49" i="161"/>
  <c r="BC49" i="161"/>
  <c r="AY49" i="161"/>
  <c r="AU49" i="161"/>
  <c r="AQ49" i="161"/>
  <c r="AM49" i="161"/>
  <c r="AI49" i="161"/>
  <c r="AE49" i="161"/>
  <c r="AA49" i="161"/>
  <c r="W49" i="161"/>
  <c r="S49" i="161"/>
  <c r="O49" i="161"/>
  <c r="J49" i="161"/>
  <c r="BW48" i="161"/>
  <c r="BS48" i="161"/>
  <c r="BO48" i="161"/>
  <c r="BK48" i="161"/>
  <c r="BG48" i="161"/>
  <c r="BC48" i="161"/>
  <c r="AY48" i="161"/>
  <c r="AU48" i="161"/>
  <c r="AQ48" i="161"/>
  <c r="AM48" i="161"/>
  <c r="AI48" i="161"/>
  <c r="AE48" i="161"/>
  <c r="AA48" i="161"/>
  <c r="W48" i="161"/>
  <c r="S48" i="161"/>
  <c r="O48" i="161"/>
  <c r="J48" i="161"/>
  <c r="BW47" i="161"/>
  <c r="BS47" i="161"/>
  <c r="BO47" i="161"/>
  <c r="BK47" i="161"/>
  <c r="BG47" i="161"/>
  <c r="BC47" i="161"/>
  <c r="AY47" i="161"/>
  <c r="AU47" i="161"/>
  <c r="AQ47" i="161"/>
  <c r="AM47" i="161"/>
  <c r="AI47" i="161"/>
  <c r="AE47" i="161"/>
  <c r="AA47" i="161"/>
  <c r="W47" i="161"/>
  <c r="S47" i="161"/>
  <c r="O47" i="161"/>
  <c r="J47" i="161"/>
  <c r="BW46" i="161"/>
  <c r="BS46" i="161"/>
  <c r="BO46" i="161"/>
  <c r="BK46" i="161"/>
  <c r="BG46" i="161"/>
  <c r="BC46" i="161"/>
  <c r="AY46" i="161"/>
  <c r="AU46" i="161"/>
  <c r="AQ46" i="161"/>
  <c r="AM46" i="161"/>
  <c r="AI46" i="161"/>
  <c r="AE46" i="161"/>
  <c r="AA46" i="161"/>
  <c r="W46" i="161"/>
  <c r="S46" i="161"/>
  <c r="O46" i="161"/>
  <c r="J46" i="161"/>
  <c r="BW45" i="161"/>
  <c r="BS45" i="161"/>
  <c r="BO45" i="161"/>
  <c r="BK45" i="161"/>
  <c r="BG45" i="161"/>
  <c r="BC45" i="161"/>
  <c r="AY45" i="161"/>
  <c r="AU45" i="161"/>
  <c r="AQ45" i="161"/>
  <c r="AM45" i="161"/>
  <c r="AI45" i="161"/>
  <c r="AE45" i="161"/>
  <c r="AA45" i="161"/>
  <c r="W45" i="161"/>
  <c r="S45" i="161"/>
  <c r="O45" i="161"/>
  <c r="J45" i="161"/>
  <c r="BW44" i="161"/>
  <c r="BS44" i="161"/>
  <c r="BO44" i="161"/>
  <c r="BK44" i="161"/>
  <c r="BG44" i="161"/>
  <c r="BC44" i="161"/>
  <c r="AY44" i="161"/>
  <c r="AU44" i="161"/>
  <c r="AQ44" i="161"/>
  <c r="AM44" i="161"/>
  <c r="AI44" i="161"/>
  <c r="AE44" i="161"/>
  <c r="AA44" i="161"/>
  <c r="W44" i="161"/>
  <c r="S44" i="161"/>
  <c r="O44" i="161"/>
  <c r="J44" i="161"/>
  <c r="BW43" i="161"/>
  <c r="BS43" i="161"/>
  <c r="BO43" i="161"/>
  <c r="BK43" i="161"/>
  <c r="BG43" i="161"/>
  <c r="BC43" i="161"/>
  <c r="AY43" i="161"/>
  <c r="AU43" i="161"/>
  <c r="AQ43" i="161"/>
  <c r="AM43" i="161"/>
  <c r="AI43" i="161"/>
  <c r="AE43" i="161"/>
  <c r="AA43" i="161"/>
  <c r="W43" i="161"/>
  <c r="S43" i="161"/>
  <c r="O43" i="161"/>
  <c r="J43" i="161"/>
  <c r="BW42" i="161"/>
  <c r="BS42" i="161"/>
  <c r="BO42" i="161"/>
  <c r="BK42" i="161"/>
  <c r="BG42" i="161"/>
  <c r="BC42" i="161"/>
  <c r="AY42" i="161"/>
  <c r="AU42" i="161"/>
  <c r="AQ42" i="161"/>
  <c r="AM42" i="161"/>
  <c r="AI42" i="161"/>
  <c r="AE42" i="161"/>
  <c r="AA42" i="161"/>
  <c r="W42" i="161"/>
  <c r="S42" i="161"/>
  <c r="O42" i="161"/>
  <c r="J42" i="161"/>
  <c r="BW41" i="161"/>
  <c r="BS41" i="161"/>
  <c r="BO41" i="161"/>
  <c r="BK41" i="161"/>
  <c r="BG41" i="161"/>
  <c r="BC41" i="161"/>
  <c r="AY41" i="161"/>
  <c r="AU41" i="161"/>
  <c r="AQ41" i="161"/>
  <c r="AM41" i="161"/>
  <c r="AI41" i="161"/>
  <c r="AE41" i="161"/>
  <c r="AA41" i="161"/>
  <c r="W41" i="161"/>
  <c r="S41" i="161"/>
  <c r="O41" i="161"/>
  <c r="J41" i="161"/>
  <c r="BW40" i="161"/>
  <c r="BS40" i="161"/>
  <c r="BO40" i="161"/>
  <c r="BK40" i="161"/>
  <c r="BG40" i="161"/>
  <c r="BC40" i="161"/>
  <c r="AY40" i="161"/>
  <c r="AU40" i="161"/>
  <c r="AQ40" i="161"/>
  <c r="AM40" i="161"/>
  <c r="AI40" i="161"/>
  <c r="AE40" i="161"/>
  <c r="AA40" i="161"/>
  <c r="W40" i="161"/>
  <c r="S40" i="161"/>
  <c r="O40" i="161"/>
  <c r="J40" i="161"/>
  <c r="BW39" i="161"/>
  <c r="BS39" i="161"/>
  <c r="BO39" i="161"/>
  <c r="BK39" i="161"/>
  <c r="BG39" i="161"/>
  <c r="BC39" i="161"/>
  <c r="AY39" i="161"/>
  <c r="AU39" i="161"/>
  <c r="AQ39" i="161"/>
  <c r="AM39" i="161"/>
  <c r="AI39" i="161"/>
  <c r="AE39" i="161"/>
  <c r="AA39" i="161"/>
  <c r="W39" i="161"/>
  <c r="S39" i="161"/>
  <c r="O39" i="161"/>
  <c r="J39" i="161"/>
  <c r="BW38" i="161"/>
  <c r="BS38" i="161"/>
  <c r="BO38" i="161"/>
  <c r="BK38" i="161"/>
  <c r="BG38" i="161"/>
  <c r="BC38" i="161"/>
  <c r="AY38" i="161"/>
  <c r="AU38" i="161"/>
  <c r="AQ38" i="161"/>
  <c r="AM38" i="161"/>
  <c r="AI38" i="161"/>
  <c r="AE38" i="161"/>
  <c r="AA38" i="161"/>
  <c r="W38" i="161"/>
  <c r="S38" i="161"/>
  <c r="O38" i="161"/>
  <c r="J38" i="161"/>
  <c r="BW37" i="161"/>
  <c r="BS37" i="161"/>
  <c r="BO37" i="161"/>
  <c r="BK37" i="161"/>
  <c r="BG37" i="161"/>
  <c r="BC37" i="161"/>
  <c r="AY37" i="161"/>
  <c r="AU37" i="161"/>
  <c r="AQ37" i="161"/>
  <c r="AM37" i="161"/>
  <c r="AI37" i="161"/>
  <c r="AE37" i="161"/>
  <c r="AA37" i="161"/>
  <c r="W37" i="161"/>
  <c r="S37" i="161"/>
  <c r="O37" i="161"/>
  <c r="J37" i="161"/>
  <c r="BW36" i="161"/>
  <c r="BS36" i="161"/>
  <c r="BO36" i="161"/>
  <c r="BK36" i="161"/>
  <c r="BG36" i="161"/>
  <c r="BC36" i="161"/>
  <c r="AY36" i="161"/>
  <c r="AU36" i="161"/>
  <c r="AQ36" i="161"/>
  <c r="AM36" i="161"/>
  <c r="AI36" i="161"/>
  <c r="AE36" i="161"/>
  <c r="AA36" i="161"/>
  <c r="W36" i="161"/>
  <c r="S36" i="161"/>
  <c r="O36" i="161"/>
  <c r="J36" i="161"/>
  <c r="BW35" i="161"/>
  <c r="BS35" i="161"/>
  <c r="BO35" i="161"/>
  <c r="BK35" i="161"/>
  <c r="BG35" i="161"/>
  <c r="BC35" i="161"/>
  <c r="AY35" i="161"/>
  <c r="AU35" i="161"/>
  <c r="AQ35" i="161"/>
  <c r="AM35" i="161"/>
  <c r="AI35" i="161"/>
  <c r="AE35" i="161"/>
  <c r="AA35" i="161"/>
  <c r="W35" i="161"/>
  <c r="S35" i="161"/>
  <c r="O35" i="161"/>
  <c r="J35" i="161"/>
  <c r="BW34" i="161"/>
  <c r="BS34" i="161"/>
  <c r="BO34" i="161"/>
  <c r="BK34" i="161"/>
  <c r="BG34" i="161"/>
  <c r="BC34" i="161"/>
  <c r="AY34" i="161"/>
  <c r="AU34" i="161"/>
  <c r="AQ34" i="161"/>
  <c r="AM34" i="161"/>
  <c r="AI34" i="161"/>
  <c r="AE34" i="161"/>
  <c r="AA34" i="161"/>
  <c r="W34" i="161"/>
  <c r="S34" i="161"/>
  <c r="O34" i="161"/>
  <c r="J34" i="161"/>
  <c r="BW33" i="161"/>
  <c r="BS33" i="161"/>
  <c r="BO33" i="161"/>
  <c r="BK33" i="161"/>
  <c r="BG33" i="161"/>
  <c r="BC33" i="161"/>
  <c r="AY33" i="161"/>
  <c r="AU33" i="161"/>
  <c r="AQ33" i="161"/>
  <c r="AM33" i="161"/>
  <c r="AI33" i="161"/>
  <c r="AE33" i="161"/>
  <c r="AA33" i="161"/>
  <c r="W33" i="161"/>
  <c r="S33" i="161"/>
  <c r="O33" i="161"/>
  <c r="J33" i="161"/>
  <c r="BW32" i="161"/>
  <c r="BS32" i="161"/>
  <c r="BO32" i="161"/>
  <c r="BK32" i="161"/>
  <c r="BG32" i="161"/>
  <c r="BC32" i="161"/>
  <c r="AY32" i="161"/>
  <c r="AU32" i="161"/>
  <c r="AQ32" i="161"/>
  <c r="AM32" i="161"/>
  <c r="AI32" i="161"/>
  <c r="AE32" i="161"/>
  <c r="AA32" i="161"/>
  <c r="W32" i="161"/>
  <c r="S32" i="161"/>
  <c r="O32" i="161"/>
  <c r="J32" i="161"/>
  <c r="BW31" i="161"/>
  <c r="BS31" i="161"/>
  <c r="BO31" i="161"/>
  <c r="BK31" i="161"/>
  <c r="BG31" i="161"/>
  <c r="BC31" i="161"/>
  <c r="AY31" i="161"/>
  <c r="AU31" i="161"/>
  <c r="AQ31" i="161"/>
  <c r="AM31" i="161"/>
  <c r="AI31" i="161"/>
  <c r="AE31" i="161"/>
  <c r="AA31" i="161"/>
  <c r="W31" i="161"/>
  <c r="S31" i="161"/>
  <c r="O31" i="161"/>
  <c r="J31" i="161"/>
  <c r="BW30" i="161"/>
  <c r="BS30" i="161"/>
  <c r="BO30" i="161"/>
  <c r="BK30" i="161"/>
  <c r="BG30" i="161"/>
  <c r="BC30" i="161"/>
  <c r="AY30" i="161"/>
  <c r="AU30" i="161"/>
  <c r="AQ30" i="161"/>
  <c r="AM30" i="161"/>
  <c r="AI30" i="161"/>
  <c r="AE30" i="161"/>
  <c r="AA30" i="161"/>
  <c r="W30" i="161"/>
  <c r="S30" i="161"/>
  <c r="O30" i="161"/>
  <c r="J30" i="161"/>
  <c r="BW29" i="161"/>
  <c r="BS29" i="161"/>
  <c r="BO29" i="161"/>
  <c r="BK29" i="161"/>
  <c r="BG29" i="161"/>
  <c r="BC29" i="161"/>
  <c r="AY29" i="161"/>
  <c r="AU29" i="161"/>
  <c r="AQ29" i="161"/>
  <c r="AM29" i="161"/>
  <c r="AI29" i="161"/>
  <c r="AE29" i="161"/>
  <c r="AA29" i="161"/>
  <c r="W29" i="161"/>
  <c r="S29" i="161"/>
  <c r="O29" i="161"/>
  <c r="J29" i="161"/>
  <c r="BW28" i="161"/>
  <c r="BS28" i="161"/>
  <c r="BO28" i="161"/>
  <c r="BK28" i="161"/>
  <c r="BG28" i="161"/>
  <c r="BC28" i="161"/>
  <c r="AY28" i="161"/>
  <c r="AU28" i="161"/>
  <c r="AQ28" i="161"/>
  <c r="AM28" i="161"/>
  <c r="AI28" i="161"/>
  <c r="AE28" i="161"/>
  <c r="AA28" i="161"/>
  <c r="W28" i="161"/>
  <c r="S28" i="161"/>
  <c r="O28" i="161"/>
  <c r="J28" i="161"/>
  <c r="BW27" i="161"/>
  <c r="BS27" i="161"/>
  <c r="BO27" i="161"/>
  <c r="BK27" i="161"/>
  <c r="BG27" i="161"/>
  <c r="BC27" i="161"/>
  <c r="AY27" i="161"/>
  <c r="AU27" i="161"/>
  <c r="AQ27" i="161"/>
  <c r="AM27" i="161"/>
  <c r="AI27" i="161"/>
  <c r="AE27" i="161"/>
  <c r="AA27" i="161"/>
  <c r="W27" i="161"/>
  <c r="S27" i="161"/>
  <c r="O27" i="161"/>
  <c r="J27" i="161"/>
  <c r="BW26" i="161"/>
  <c r="BS26" i="161"/>
  <c r="BO26" i="161"/>
  <c r="BK26" i="161"/>
  <c r="BG26" i="161"/>
  <c r="BC26" i="161"/>
  <c r="AY26" i="161"/>
  <c r="AU26" i="161"/>
  <c r="AQ26" i="161"/>
  <c r="AM26" i="161"/>
  <c r="AI26" i="161"/>
  <c r="AE26" i="161"/>
  <c r="AA26" i="161"/>
  <c r="W26" i="161"/>
  <c r="S26" i="161"/>
  <c r="O26" i="161"/>
  <c r="J26" i="161"/>
  <c r="BW25" i="161"/>
  <c r="BS25" i="161"/>
  <c r="BO25" i="161"/>
  <c r="BK25" i="161"/>
  <c r="BG25" i="161"/>
  <c r="BC25" i="161"/>
  <c r="AY25" i="161"/>
  <c r="AU25" i="161"/>
  <c r="AQ25" i="161"/>
  <c r="AM25" i="161"/>
  <c r="AI25" i="161"/>
  <c r="AE25" i="161"/>
  <c r="AA25" i="161"/>
  <c r="W25" i="161"/>
  <c r="S25" i="161"/>
  <c r="O25" i="161"/>
  <c r="J25" i="161"/>
  <c r="BW24" i="161"/>
  <c r="BS24" i="161"/>
  <c r="BO24" i="161"/>
  <c r="BK24" i="161"/>
  <c r="BG24" i="161"/>
  <c r="BC24" i="161"/>
  <c r="AY24" i="161"/>
  <c r="AU24" i="161"/>
  <c r="AQ24" i="161"/>
  <c r="AM24" i="161"/>
  <c r="AI24" i="161"/>
  <c r="AE24" i="161"/>
  <c r="AA24" i="161"/>
  <c r="W24" i="161"/>
  <c r="S24" i="161"/>
  <c r="O24" i="161"/>
  <c r="J24" i="161"/>
  <c r="BW23" i="161"/>
  <c r="BS23" i="161"/>
  <c r="BO23" i="161"/>
  <c r="BK23" i="161"/>
  <c r="BG23" i="161"/>
  <c r="BC23" i="161"/>
  <c r="AY23" i="161"/>
  <c r="AU23" i="161"/>
  <c r="AQ23" i="161"/>
  <c r="AM23" i="161"/>
  <c r="AI23" i="161"/>
  <c r="AE23" i="161"/>
  <c r="AA23" i="161"/>
  <c r="W23" i="161"/>
  <c r="S23" i="161"/>
  <c r="O23" i="161"/>
  <c r="J23" i="161"/>
  <c r="BW22" i="161"/>
  <c r="BS22" i="161"/>
  <c r="BO22" i="161"/>
  <c r="BK22" i="161"/>
  <c r="BG22" i="161"/>
  <c r="BC22" i="161"/>
  <c r="AY22" i="161"/>
  <c r="AU22" i="161"/>
  <c r="AQ22" i="161"/>
  <c r="AM22" i="161"/>
  <c r="AI22" i="161"/>
  <c r="AE22" i="161"/>
  <c r="AA22" i="161"/>
  <c r="W22" i="161"/>
  <c r="S22" i="161"/>
  <c r="O22" i="161"/>
  <c r="J22" i="161"/>
  <c r="BW21" i="161"/>
  <c r="BS21" i="161"/>
  <c r="BO21" i="161"/>
  <c r="BK21" i="161"/>
  <c r="BG21" i="161"/>
  <c r="BC21" i="161"/>
  <c r="AY21" i="161"/>
  <c r="AU21" i="161"/>
  <c r="AQ21" i="161"/>
  <c r="AM21" i="161"/>
  <c r="AI21" i="161"/>
  <c r="AE21" i="161"/>
  <c r="AA21" i="161"/>
  <c r="W21" i="161"/>
  <c r="S21" i="161"/>
  <c r="O21" i="161"/>
  <c r="J21" i="161"/>
  <c r="BW20" i="161"/>
  <c r="BS20" i="161"/>
  <c r="BO20" i="161"/>
  <c r="BK20" i="161"/>
  <c r="BG20" i="161"/>
  <c r="BC20" i="161"/>
  <c r="AY20" i="161"/>
  <c r="AU20" i="161"/>
  <c r="AQ20" i="161"/>
  <c r="AM20" i="161"/>
  <c r="AI20" i="161"/>
  <c r="AE20" i="161"/>
  <c r="AA20" i="161"/>
  <c r="W20" i="161"/>
  <c r="S20" i="161"/>
  <c r="O20" i="161"/>
  <c r="J20" i="161"/>
  <c r="BW19" i="161"/>
  <c r="BS19" i="161"/>
  <c r="BO19" i="161"/>
  <c r="BK19" i="161"/>
  <c r="BG19" i="161"/>
  <c r="BC19" i="161"/>
  <c r="AY19" i="161"/>
  <c r="AU19" i="161"/>
  <c r="AQ19" i="161"/>
  <c r="AM19" i="161"/>
  <c r="AI19" i="161"/>
  <c r="AE19" i="161"/>
  <c r="AA19" i="161"/>
  <c r="W19" i="161"/>
  <c r="S19" i="161"/>
  <c r="O19" i="161"/>
  <c r="J19" i="161"/>
  <c r="BW18" i="161"/>
  <c r="BS18" i="161"/>
  <c r="BO18" i="161"/>
  <c r="BK18" i="161"/>
  <c r="BG18" i="161"/>
  <c r="BC18" i="161"/>
  <c r="AY18" i="161"/>
  <c r="AU18" i="161"/>
  <c r="AQ18" i="161"/>
  <c r="AM18" i="161"/>
  <c r="AI18" i="161"/>
  <c r="AE18" i="161"/>
  <c r="AA18" i="161"/>
  <c r="W18" i="161"/>
  <c r="S18" i="161"/>
  <c r="O18" i="161"/>
  <c r="J18" i="161"/>
  <c r="BW17" i="161"/>
  <c r="BS17" i="161"/>
  <c r="BO17" i="161"/>
  <c r="BK17" i="161"/>
  <c r="BG17" i="161"/>
  <c r="BC17" i="161"/>
  <c r="AY17" i="161"/>
  <c r="AU17" i="161"/>
  <c r="AQ17" i="161"/>
  <c r="AM17" i="161"/>
  <c r="AI17" i="161"/>
  <c r="AE17" i="161"/>
  <c r="AA17" i="161"/>
  <c r="W17" i="161"/>
  <c r="S17" i="161"/>
  <c r="O17" i="161"/>
  <c r="J17" i="161"/>
  <c r="BW16" i="161"/>
  <c r="BS16" i="161"/>
  <c r="BO16" i="161"/>
  <c r="BK16" i="161"/>
  <c r="BG16" i="161"/>
  <c r="BC16" i="161"/>
  <c r="AY16" i="161"/>
  <c r="AU16" i="161"/>
  <c r="AQ16" i="161"/>
  <c r="AM16" i="161"/>
  <c r="AI16" i="161"/>
  <c r="AE16" i="161"/>
  <c r="AA16" i="161"/>
  <c r="W16" i="161"/>
  <c r="S16" i="161"/>
  <c r="O16" i="161"/>
  <c r="J16" i="161"/>
  <c r="BW15" i="161"/>
  <c r="BS15" i="161"/>
  <c r="BO15" i="161"/>
  <c r="BK15" i="161"/>
  <c r="BG15" i="161"/>
  <c r="BC15" i="161"/>
  <c r="AY15" i="161"/>
  <c r="AU15" i="161"/>
  <c r="AQ15" i="161"/>
  <c r="AM15" i="161"/>
  <c r="AI15" i="161"/>
  <c r="AE15" i="161"/>
  <c r="AA15" i="161"/>
  <c r="W15" i="161"/>
  <c r="S15" i="161"/>
  <c r="O15" i="161"/>
  <c r="J15" i="161"/>
  <c r="BW14" i="161"/>
  <c r="BS14" i="161"/>
  <c r="BO14" i="161"/>
  <c r="BK14" i="161"/>
  <c r="BG14" i="161"/>
  <c r="BC14" i="161"/>
  <c r="AY14" i="161"/>
  <c r="AU14" i="161"/>
  <c r="AQ14" i="161"/>
  <c r="AM14" i="161"/>
  <c r="AI14" i="161"/>
  <c r="AE14" i="161"/>
  <c r="AA14" i="161"/>
  <c r="W14" i="161"/>
  <c r="S14" i="161"/>
  <c r="O14" i="161"/>
  <c r="J14" i="161"/>
  <c r="BW13" i="161"/>
  <c r="BS13" i="161"/>
  <c r="BO13" i="161"/>
  <c r="BK13" i="161"/>
  <c r="BG13" i="161"/>
  <c r="BC13" i="161"/>
  <c r="AY13" i="161"/>
  <c r="AU13" i="161"/>
  <c r="AQ13" i="161"/>
  <c r="AM13" i="161"/>
  <c r="AI13" i="161"/>
  <c r="AE13" i="161"/>
  <c r="AA13" i="161"/>
  <c r="W13" i="161"/>
  <c r="S13" i="161"/>
  <c r="O13" i="161"/>
  <c r="J13" i="161"/>
  <c r="BW12" i="161"/>
  <c r="BS12" i="161"/>
  <c r="BO12" i="161"/>
  <c r="BK12" i="161"/>
  <c r="BG12" i="161"/>
  <c r="BC12" i="161"/>
  <c r="AY12" i="161"/>
  <c r="AU12" i="161"/>
  <c r="AQ12" i="161"/>
  <c r="AM12" i="161"/>
  <c r="AI12" i="161"/>
  <c r="AE12" i="161"/>
  <c r="AA12" i="161"/>
  <c r="W12" i="161"/>
  <c r="S12" i="161"/>
  <c r="O12" i="161"/>
  <c r="J12" i="161"/>
  <c r="BW11" i="161"/>
  <c r="BS11" i="161"/>
  <c r="BO11" i="161"/>
  <c r="BK11" i="161"/>
  <c r="BG11" i="161"/>
  <c r="BC11" i="161"/>
  <c r="AY11" i="161"/>
  <c r="AU11" i="161"/>
  <c r="AQ11" i="161"/>
  <c r="AM11" i="161"/>
  <c r="AI11" i="161"/>
  <c r="AE11" i="161"/>
  <c r="AA11" i="161"/>
  <c r="W11" i="161"/>
  <c r="S11" i="161"/>
  <c r="O11" i="161"/>
  <c r="J11" i="161"/>
  <c r="BW10" i="161"/>
  <c r="BS10" i="161"/>
  <c r="BO10" i="161"/>
  <c r="BK10" i="161"/>
  <c r="BG10" i="161"/>
  <c r="BC10" i="161"/>
  <c r="AY10" i="161"/>
  <c r="AU10" i="161"/>
  <c r="AQ10" i="161"/>
  <c r="AM10" i="161"/>
  <c r="AI10" i="161"/>
  <c r="AE10" i="161"/>
  <c r="AA10" i="161"/>
  <c r="W10" i="161"/>
  <c r="S10" i="161"/>
  <c r="O10" i="161"/>
  <c r="J10" i="161"/>
  <c r="BW9" i="161"/>
  <c r="BS9" i="161"/>
  <c r="BO9" i="161"/>
  <c r="BK9" i="161"/>
  <c r="BG9" i="161"/>
  <c r="BC9" i="161"/>
  <c r="AY9" i="161"/>
  <c r="AU9" i="161"/>
  <c r="AQ9" i="161"/>
  <c r="AM9" i="161"/>
  <c r="AI9" i="161"/>
  <c r="AE9" i="161"/>
  <c r="AA9" i="161"/>
  <c r="W9" i="161"/>
  <c r="S9" i="161"/>
  <c r="O9" i="161"/>
  <c r="J9" i="161"/>
  <c r="BW8" i="161"/>
  <c r="BS8" i="161"/>
  <c r="BO8" i="161"/>
  <c r="BK8" i="161"/>
  <c r="BG8" i="161"/>
  <c r="BC8" i="161"/>
  <c r="AY8" i="161"/>
  <c r="AU8" i="161"/>
  <c r="AQ8" i="161"/>
  <c r="AM8" i="161"/>
  <c r="AI8" i="161"/>
  <c r="AE8" i="161"/>
  <c r="AA8" i="161"/>
  <c r="W8" i="161"/>
  <c r="S8" i="161"/>
  <c r="O8" i="161"/>
  <c r="J8" i="161"/>
  <c r="BW7" i="161"/>
  <c r="BS7" i="161"/>
  <c r="BO7" i="161"/>
  <c r="BK7" i="161"/>
  <c r="BG7" i="161"/>
  <c r="BC7" i="161"/>
  <c r="AY7" i="161"/>
  <c r="AU7" i="161"/>
  <c r="AQ7" i="161"/>
  <c r="AM7" i="161"/>
  <c r="AI7" i="161"/>
  <c r="AE7" i="161"/>
  <c r="AA7" i="161"/>
  <c r="W7" i="161"/>
  <c r="S7" i="161"/>
  <c r="O7" i="161"/>
  <c r="J7" i="161"/>
  <c r="BU6" i="161"/>
  <c r="BT6" i="161"/>
  <c r="BN6" i="161"/>
  <c r="BO6" i="161" s="1"/>
  <c r="BM6" i="161"/>
  <c r="BL6" i="161"/>
  <c r="BH6" i="161"/>
  <c r="AW6" i="161"/>
  <c r="AV6" i="161"/>
  <c r="AP6" i="161"/>
  <c r="AQ6" i="161" s="1"/>
  <c r="AO6" i="161"/>
  <c r="AN6" i="161"/>
  <c r="AJ6" i="161"/>
  <c r="Y6" i="161"/>
  <c r="X6" i="161"/>
  <c r="R6" i="161"/>
  <c r="S6" i="161" s="1"/>
  <c r="Q6" i="161"/>
  <c r="P6" i="161"/>
  <c r="L6" i="161"/>
  <c r="BT5" i="161"/>
  <c r="BW5" i="161" s="1"/>
  <c r="BL5" i="161"/>
  <c r="BO5" i="161" s="1"/>
  <c r="BH5" i="161"/>
  <c r="BK5" i="161" s="1"/>
  <c r="AV5" i="161"/>
  <c r="AY5" i="161" s="1"/>
  <c r="AN5" i="161"/>
  <c r="AQ5" i="161" s="1"/>
  <c r="AJ5" i="161"/>
  <c r="AM5" i="161" s="1"/>
  <c r="X5" i="161"/>
  <c r="AA5" i="161" s="1"/>
  <c r="P5" i="161"/>
  <c r="S5" i="161" s="1"/>
  <c r="L5" i="161"/>
  <c r="O5" i="161" s="1"/>
  <c r="BT4" i="161"/>
  <c r="BS4" i="161"/>
  <c r="BV6" i="161" s="1"/>
  <c r="BW6" i="161" s="1"/>
  <c r="BO4" i="161"/>
  <c r="BR6" i="161" s="1"/>
  <c r="BS6" i="161" s="1"/>
  <c r="BK4" i="161"/>
  <c r="BL4" i="161" s="1"/>
  <c r="BH4" i="161"/>
  <c r="BG4" i="161"/>
  <c r="BJ6" i="161" s="1"/>
  <c r="BK6" i="161" s="1"/>
  <c r="BC4" i="161"/>
  <c r="BF6" i="161" s="1"/>
  <c r="BG6" i="161" s="1"/>
  <c r="AY4" i="161"/>
  <c r="AZ4" i="161" s="1"/>
  <c r="AV4" i="161"/>
  <c r="AU4" i="161"/>
  <c r="AX6" i="161" s="1"/>
  <c r="AY6" i="161" s="1"/>
  <c r="AQ4" i="161"/>
  <c r="AT6" i="161" s="1"/>
  <c r="AU6" i="161" s="1"/>
  <c r="AM4" i="161"/>
  <c r="AN4" i="161" s="1"/>
  <c r="AJ4" i="161"/>
  <c r="AI4" i="161"/>
  <c r="AL6" i="161" s="1"/>
  <c r="AM6" i="161" s="1"/>
  <c r="AE4" i="161"/>
  <c r="AH6" i="161" s="1"/>
  <c r="AI6" i="161" s="1"/>
  <c r="AA4" i="161"/>
  <c r="AB4" i="161" s="1"/>
  <c r="X4" i="161"/>
  <c r="W4" i="161"/>
  <c r="Z6" i="161" s="1"/>
  <c r="AA6" i="161" s="1"/>
  <c r="S4" i="161"/>
  <c r="V6" i="161" s="1"/>
  <c r="W6" i="161" s="1"/>
  <c r="O4" i="161"/>
  <c r="P4" i="161" s="1"/>
  <c r="L4" i="161"/>
  <c r="K4" i="161"/>
  <c r="N6" i="161" s="1"/>
  <c r="O6" i="161" s="1"/>
  <c r="J4" i="161"/>
  <c r="BT3" i="161"/>
  <c r="BP3" i="161"/>
  <c r="BL3" i="161"/>
  <c r="BH3" i="161"/>
  <c r="BD3" i="161"/>
  <c r="AZ3" i="161"/>
  <c r="AV3" i="161"/>
  <c r="AR3" i="161"/>
  <c r="AN3" i="161"/>
  <c r="AJ3" i="161"/>
  <c r="AF3" i="161"/>
  <c r="AB3" i="161"/>
  <c r="X3" i="161"/>
  <c r="T3" i="161"/>
  <c r="P3" i="161"/>
  <c r="L3" i="161"/>
  <c r="J3" i="161"/>
  <c r="J2" i="161"/>
  <c r="F1" i="161"/>
  <c r="BW82" i="160"/>
  <c r="BS82" i="160"/>
  <c r="BO82" i="160"/>
  <c r="BK82" i="160"/>
  <c r="BG82" i="160"/>
  <c r="BC82" i="160"/>
  <c r="AY82" i="160"/>
  <c r="AU82" i="160"/>
  <c r="AQ82" i="160"/>
  <c r="AM82" i="160"/>
  <c r="AI82" i="160"/>
  <c r="AE82" i="160"/>
  <c r="AA82" i="160"/>
  <c r="W82" i="160"/>
  <c r="S82" i="160"/>
  <c r="O82" i="160"/>
  <c r="J82" i="160"/>
  <c r="BW81" i="160"/>
  <c r="BS81" i="160"/>
  <c r="BO81" i="160"/>
  <c r="BK81" i="160"/>
  <c r="BG81" i="160"/>
  <c r="BC81" i="160"/>
  <c r="AY81" i="160"/>
  <c r="AU81" i="160"/>
  <c r="AQ81" i="160"/>
  <c r="AM81" i="160"/>
  <c r="AI81" i="160"/>
  <c r="AE81" i="160"/>
  <c r="AA81" i="160"/>
  <c r="W81" i="160"/>
  <c r="S81" i="160"/>
  <c r="O81" i="160"/>
  <c r="J81" i="160"/>
  <c r="BW80" i="160"/>
  <c r="BS80" i="160"/>
  <c r="BO80" i="160"/>
  <c r="BK80" i="160"/>
  <c r="BG80" i="160"/>
  <c r="BC80" i="160"/>
  <c r="AY80" i="160"/>
  <c r="AU80" i="160"/>
  <c r="AQ80" i="160"/>
  <c r="AM80" i="160"/>
  <c r="AI80" i="160"/>
  <c r="AE80" i="160"/>
  <c r="AA80" i="160"/>
  <c r="W80" i="160"/>
  <c r="S80" i="160"/>
  <c r="O80" i="160"/>
  <c r="J80" i="160"/>
  <c r="BW79" i="160"/>
  <c r="BS79" i="160"/>
  <c r="BO79" i="160"/>
  <c r="BK79" i="160"/>
  <c r="BG79" i="160"/>
  <c r="BC79" i="160"/>
  <c r="AY79" i="160"/>
  <c r="AU79" i="160"/>
  <c r="AQ79" i="160"/>
  <c r="AM79" i="160"/>
  <c r="AI79" i="160"/>
  <c r="AE79" i="160"/>
  <c r="AA79" i="160"/>
  <c r="W79" i="160"/>
  <c r="S79" i="160"/>
  <c r="O79" i="160"/>
  <c r="J79" i="160"/>
  <c r="BW78" i="160"/>
  <c r="BS78" i="160"/>
  <c r="BO78" i="160"/>
  <c r="BK78" i="160"/>
  <c r="BG78" i="160"/>
  <c r="BC78" i="160"/>
  <c r="AY78" i="160"/>
  <c r="AU78" i="160"/>
  <c r="AQ78" i="160"/>
  <c r="AM78" i="160"/>
  <c r="AI78" i="160"/>
  <c r="AE78" i="160"/>
  <c r="AA78" i="160"/>
  <c r="W78" i="160"/>
  <c r="S78" i="160"/>
  <c r="O78" i="160"/>
  <c r="J78" i="160"/>
  <c r="BW77" i="160"/>
  <c r="BS77" i="160"/>
  <c r="BO77" i="160"/>
  <c r="BK77" i="160"/>
  <c r="BG77" i="160"/>
  <c r="BC77" i="160"/>
  <c r="AY77" i="160"/>
  <c r="AU77" i="160"/>
  <c r="AQ77" i="160"/>
  <c r="AM77" i="160"/>
  <c r="AI77" i="160"/>
  <c r="AE77" i="160"/>
  <c r="AA77" i="160"/>
  <c r="W77" i="160"/>
  <c r="S77" i="160"/>
  <c r="O77" i="160"/>
  <c r="J77" i="160"/>
  <c r="BW76" i="160"/>
  <c r="BS76" i="160"/>
  <c r="BO76" i="160"/>
  <c r="BK76" i="160"/>
  <c r="BG76" i="160"/>
  <c r="BC76" i="160"/>
  <c r="AY76" i="160"/>
  <c r="AU76" i="160"/>
  <c r="AQ76" i="160"/>
  <c r="AM76" i="160"/>
  <c r="AI76" i="160"/>
  <c r="AE76" i="160"/>
  <c r="AA76" i="160"/>
  <c r="W76" i="160"/>
  <c r="S76" i="160"/>
  <c r="O76" i="160"/>
  <c r="J76" i="160"/>
  <c r="BW75" i="160"/>
  <c r="BS75" i="160"/>
  <c r="BO75" i="160"/>
  <c r="BK75" i="160"/>
  <c r="BG75" i="160"/>
  <c r="BC75" i="160"/>
  <c r="AY75" i="160"/>
  <c r="AU75" i="160"/>
  <c r="AQ75" i="160"/>
  <c r="AM75" i="160"/>
  <c r="AI75" i="160"/>
  <c r="AE75" i="160"/>
  <c r="AA75" i="160"/>
  <c r="W75" i="160"/>
  <c r="S75" i="160"/>
  <c r="O75" i="160"/>
  <c r="J75" i="160"/>
  <c r="BW74" i="160"/>
  <c r="BS74" i="160"/>
  <c r="BO74" i="160"/>
  <c r="BK74" i="160"/>
  <c r="BG74" i="160"/>
  <c r="BC74" i="160"/>
  <c r="AY74" i="160"/>
  <c r="AU74" i="160"/>
  <c r="AQ74" i="160"/>
  <c r="AM74" i="160"/>
  <c r="AI74" i="160"/>
  <c r="AE74" i="160"/>
  <c r="AA74" i="160"/>
  <c r="W74" i="160"/>
  <c r="S74" i="160"/>
  <c r="O74" i="160"/>
  <c r="J74" i="160"/>
  <c r="BW73" i="160"/>
  <c r="BS73" i="160"/>
  <c r="BO73" i="160"/>
  <c r="BK73" i="160"/>
  <c r="BG73" i="160"/>
  <c r="BC73" i="160"/>
  <c r="AY73" i="160"/>
  <c r="AU73" i="160"/>
  <c r="AQ73" i="160"/>
  <c r="AM73" i="160"/>
  <c r="AI73" i="160"/>
  <c r="AE73" i="160"/>
  <c r="AA73" i="160"/>
  <c r="W73" i="160"/>
  <c r="S73" i="160"/>
  <c r="O73" i="160"/>
  <c r="J73" i="160"/>
  <c r="BW72" i="160"/>
  <c r="BS72" i="160"/>
  <c r="BO72" i="160"/>
  <c r="BK72" i="160"/>
  <c r="BG72" i="160"/>
  <c r="BC72" i="160"/>
  <c r="AY72" i="160"/>
  <c r="AU72" i="160"/>
  <c r="AQ72" i="160"/>
  <c r="AM72" i="160"/>
  <c r="AI72" i="160"/>
  <c r="AE72" i="160"/>
  <c r="AA72" i="160"/>
  <c r="W72" i="160"/>
  <c r="S72" i="160"/>
  <c r="O72" i="160"/>
  <c r="J72" i="160"/>
  <c r="BW71" i="160"/>
  <c r="BS71" i="160"/>
  <c r="BO71" i="160"/>
  <c r="BK71" i="160"/>
  <c r="BG71" i="160"/>
  <c r="BC71" i="160"/>
  <c r="AY71" i="160"/>
  <c r="AU71" i="160"/>
  <c r="AQ71" i="160"/>
  <c r="AM71" i="160"/>
  <c r="AI71" i="160"/>
  <c r="AE71" i="160"/>
  <c r="AA71" i="160"/>
  <c r="W71" i="160"/>
  <c r="S71" i="160"/>
  <c r="O71" i="160"/>
  <c r="J71" i="160"/>
  <c r="BW70" i="160"/>
  <c r="BS70" i="160"/>
  <c r="BO70" i="160"/>
  <c r="BK70" i="160"/>
  <c r="BG70" i="160"/>
  <c r="BC70" i="160"/>
  <c r="AY70" i="160"/>
  <c r="AU70" i="160"/>
  <c r="AQ70" i="160"/>
  <c r="AM70" i="160"/>
  <c r="AI70" i="160"/>
  <c r="AE70" i="160"/>
  <c r="AA70" i="160"/>
  <c r="W70" i="160"/>
  <c r="S70" i="160"/>
  <c r="O70" i="160"/>
  <c r="J70" i="160"/>
  <c r="BW69" i="160"/>
  <c r="BS69" i="160"/>
  <c r="BO69" i="160"/>
  <c r="BK69" i="160"/>
  <c r="BG69" i="160"/>
  <c r="BC69" i="160"/>
  <c r="AY69" i="160"/>
  <c r="AU69" i="160"/>
  <c r="AQ69" i="160"/>
  <c r="AM69" i="160"/>
  <c r="AI69" i="160"/>
  <c r="AE69" i="160"/>
  <c r="AA69" i="160"/>
  <c r="W69" i="160"/>
  <c r="S69" i="160"/>
  <c r="O69" i="160"/>
  <c r="J69" i="160"/>
  <c r="BW68" i="160"/>
  <c r="BS68" i="160"/>
  <c r="BO68" i="160"/>
  <c r="BK68" i="160"/>
  <c r="BG68" i="160"/>
  <c r="BC68" i="160"/>
  <c r="AY68" i="160"/>
  <c r="AU68" i="160"/>
  <c r="AQ68" i="160"/>
  <c r="AM68" i="160"/>
  <c r="AI68" i="160"/>
  <c r="AE68" i="160"/>
  <c r="AA68" i="160"/>
  <c r="W68" i="160"/>
  <c r="S68" i="160"/>
  <c r="O68" i="160"/>
  <c r="J68" i="160"/>
  <c r="BW67" i="160"/>
  <c r="BS67" i="160"/>
  <c r="BO67" i="160"/>
  <c r="BK67" i="160"/>
  <c r="BG67" i="160"/>
  <c r="BC67" i="160"/>
  <c r="AY67" i="160"/>
  <c r="AU67" i="160"/>
  <c r="AQ67" i="160"/>
  <c r="AM67" i="160"/>
  <c r="AI67" i="160"/>
  <c r="AE67" i="160"/>
  <c r="AA67" i="160"/>
  <c r="W67" i="160"/>
  <c r="S67" i="160"/>
  <c r="O67" i="160"/>
  <c r="J67" i="160"/>
  <c r="BW66" i="160"/>
  <c r="BS66" i="160"/>
  <c r="BO66" i="160"/>
  <c r="BK66" i="160"/>
  <c r="BG66" i="160"/>
  <c r="BC66" i="160"/>
  <c r="AY66" i="160"/>
  <c r="AU66" i="160"/>
  <c r="AQ66" i="160"/>
  <c r="AM66" i="160"/>
  <c r="AI66" i="160"/>
  <c r="AE66" i="160"/>
  <c r="AA66" i="160"/>
  <c r="W66" i="160"/>
  <c r="S66" i="160"/>
  <c r="O66" i="160"/>
  <c r="J66" i="160"/>
  <c r="BW65" i="160"/>
  <c r="BS65" i="160"/>
  <c r="BO65" i="160"/>
  <c r="BK65" i="160"/>
  <c r="BG65" i="160"/>
  <c r="BC65" i="160"/>
  <c r="AY65" i="160"/>
  <c r="AU65" i="160"/>
  <c r="AQ65" i="160"/>
  <c r="AM65" i="160"/>
  <c r="AI65" i="160"/>
  <c r="AE65" i="160"/>
  <c r="AA65" i="160"/>
  <c r="W65" i="160"/>
  <c r="S65" i="160"/>
  <c r="O65" i="160"/>
  <c r="J65" i="160"/>
  <c r="BW64" i="160"/>
  <c r="BS64" i="160"/>
  <c r="BO64" i="160"/>
  <c r="BK64" i="160"/>
  <c r="BG64" i="160"/>
  <c r="BC64" i="160"/>
  <c r="AY64" i="160"/>
  <c r="AU64" i="160"/>
  <c r="AQ64" i="160"/>
  <c r="AM64" i="160"/>
  <c r="AI64" i="160"/>
  <c r="AE64" i="160"/>
  <c r="AA64" i="160"/>
  <c r="W64" i="160"/>
  <c r="S64" i="160"/>
  <c r="O64" i="160"/>
  <c r="J64" i="160"/>
  <c r="BW63" i="160"/>
  <c r="BS63" i="160"/>
  <c r="BO63" i="160"/>
  <c r="BK63" i="160"/>
  <c r="BG63" i="160"/>
  <c r="BC63" i="160"/>
  <c r="AY63" i="160"/>
  <c r="AU63" i="160"/>
  <c r="AQ63" i="160"/>
  <c r="AM63" i="160"/>
  <c r="AI63" i="160"/>
  <c r="AE63" i="160"/>
  <c r="AA63" i="160"/>
  <c r="W63" i="160"/>
  <c r="S63" i="160"/>
  <c r="O63" i="160"/>
  <c r="J63" i="160"/>
  <c r="BW62" i="160"/>
  <c r="BS62" i="160"/>
  <c r="BO62" i="160"/>
  <c r="BK62" i="160"/>
  <c r="BG62" i="160"/>
  <c r="BC62" i="160"/>
  <c r="AY62" i="160"/>
  <c r="AU62" i="160"/>
  <c r="AQ62" i="160"/>
  <c r="AM62" i="160"/>
  <c r="AI62" i="160"/>
  <c r="AE62" i="160"/>
  <c r="AA62" i="160"/>
  <c r="W62" i="160"/>
  <c r="S62" i="160"/>
  <c r="O62" i="160"/>
  <c r="J62" i="160"/>
  <c r="BW61" i="160"/>
  <c r="BS61" i="160"/>
  <c r="BO61" i="160"/>
  <c r="BK61" i="160"/>
  <c r="BG61" i="160"/>
  <c r="BC61" i="160"/>
  <c r="AY61" i="160"/>
  <c r="AU61" i="160"/>
  <c r="AQ61" i="160"/>
  <c r="AM61" i="160"/>
  <c r="AI61" i="160"/>
  <c r="AE61" i="160"/>
  <c r="AA61" i="160"/>
  <c r="W61" i="160"/>
  <c r="S61" i="160"/>
  <c r="O61" i="160"/>
  <c r="J61" i="160"/>
  <c r="BW60" i="160"/>
  <c r="BS60" i="160"/>
  <c r="BO60" i="160"/>
  <c r="BK60" i="160"/>
  <c r="BG60" i="160"/>
  <c r="BC60" i="160"/>
  <c r="AY60" i="160"/>
  <c r="AU60" i="160"/>
  <c r="AQ60" i="160"/>
  <c r="AM60" i="160"/>
  <c r="AI60" i="160"/>
  <c r="AE60" i="160"/>
  <c r="AA60" i="160"/>
  <c r="W60" i="160"/>
  <c r="S60" i="160"/>
  <c r="O60" i="160"/>
  <c r="J60" i="160"/>
  <c r="BW59" i="160"/>
  <c r="BS59" i="160"/>
  <c r="BO59" i="160"/>
  <c r="BK59" i="160"/>
  <c r="BG59" i="160"/>
  <c r="BC59" i="160"/>
  <c r="AY59" i="160"/>
  <c r="AU59" i="160"/>
  <c r="AQ59" i="160"/>
  <c r="AM59" i="160"/>
  <c r="AI59" i="160"/>
  <c r="AE59" i="160"/>
  <c r="AA59" i="160"/>
  <c r="W59" i="160"/>
  <c r="S59" i="160"/>
  <c r="O59" i="160"/>
  <c r="J59" i="160"/>
  <c r="BW58" i="160"/>
  <c r="BS58" i="160"/>
  <c r="BO58" i="160"/>
  <c r="BK58" i="160"/>
  <c r="BG58" i="160"/>
  <c r="BC58" i="160"/>
  <c r="AY58" i="160"/>
  <c r="AU58" i="160"/>
  <c r="AQ58" i="160"/>
  <c r="AM58" i="160"/>
  <c r="AI58" i="160"/>
  <c r="AE58" i="160"/>
  <c r="AA58" i="160"/>
  <c r="W58" i="160"/>
  <c r="S58" i="160"/>
  <c r="O58" i="160"/>
  <c r="J58" i="160"/>
  <c r="BW57" i="160"/>
  <c r="BS57" i="160"/>
  <c r="BO57" i="160"/>
  <c r="BK57" i="160"/>
  <c r="BG57" i="160"/>
  <c r="BC57" i="160"/>
  <c r="AY57" i="160"/>
  <c r="AU57" i="160"/>
  <c r="AQ57" i="160"/>
  <c r="AM57" i="160"/>
  <c r="AI57" i="160"/>
  <c r="AE57" i="160"/>
  <c r="AA57" i="160"/>
  <c r="W57" i="160"/>
  <c r="S57" i="160"/>
  <c r="O57" i="160"/>
  <c r="J57" i="160"/>
  <c r="BW56" i="160"/>
  <c r="BS56" i="160"/>
  <c r="BO56" i="160"/>
  <c r="BK56" i="160"/>
  <c r="BG56" i="160"/>
  <c r="BC56" i="160"/>
  <c r="AY56" i="160"/>
  <c r="AU56" i="160"/>
  <c r="AQ56" i="160"/>
  <c r="AM56" i="160"/>
  <c r="AI56" i="160"/>
  <c r="AE56" i="160"/>
  <c r="AA56" i="160"/>
  <c r="W56" i="160"/>
  <c r="S56" i="160"/>
  <c r="O56" i="160"/>
  <c r="J56" i="160"/>
  <c r="BW55" i="160"/>
  <c r="BS55" i="160"/>
  <c r="BO55" i="160"/>
  <c r="BK55" i="160"/>
  <c r="BG55" i="160"/>
  <c r="BC55" i="160"/>
  <c r="AY55" i="160"/>
  <c r="AU55" i="160"/>
  <c r="AQ55" i="160"/>
  <c r="AM55" i="160"/>
  <c r="AI55" i="160"/>
  <c r="AE55" i="160"/>
  <c r="AA55" i="160"/>
  <c r="W55" i="160"/>
  <c r="S55" i="160"/>
  <c r="O55" i="160"/>
  <c r="J55" i="160"/>
  <c r="BW54" i="160"/>
  <c r="BS54" i="160"/>
  <c r="BO54" i="160"/>
  <c r="BK54" i="160"/>
  <c r="BG54" i="160"/>
  <c r="BC54" i="160"/>
  <c r="AY54" i="160"/>
  <c r="AU54" i="160"/>
  <c r="AQ54" i="160"/>
  <c r="AM54" i="160"/>
  <c r="AI54" i="160"/>
  <c r="AE54" i="160"/>
  <c r="AA54" i="160"/>
  <c r="W54" i="160"/>
  <c r="S54" i="160"/>
  <c r="O54" i="160"/>
  <c r="J54" i="160"/>
  <c r="BW53" i="160"/>
  <c r="BS53" i="160"/>
  <c r="BO53" i="160"/>
  <c r="BK53" i="160"/>
  <c r="BG53" i="160"/>
  <c r="BC53" i="160"/>
  <c r="AY53" i="160"/>
  <c r="AU53" i="160"/>
  <c r="AQ53" i="160"/>
  <c r="AM53" i="160"/>
  <c r="AI53" i="160"/>
  <c r="AE53" i="160"/>
  <c r="AA53" i="160"/>
  <c r="W53" i="160"/>
  <c r="S53" i="160"/>
  <c r="O53" i="160"/>
  <c r="J53" i="160"/>
  <c r="BW52" i="160"/>
  <c r="BS52" i="160"/>
  <c r="BO52" i="160"/>
  <c r="BK52" i="160"/>
  <c r="BG52" i="160"/>
  <c r="BC52" i="160"/>
  <c r="AY52" i="160"/>
  <c r="AU52" i="160"/>
  <c r="AQ52" i="160"/>
  <c r="AM52" i="160"/>
  <c r="AI52" i="160"/>
  <c r="AE52" i="160"/>
  <c r="AA52" i="160"/>
  <c r="W52" i="160"/>
  <c r="S52" i="160"/>
  <c r="O52" i="160"/>
  <c r="J52" i="160"/>
  <c r="BW51" i="160"/>
  <c r="BS51" i="160"/>
  <c r="BO51" i="160"/>
  <c r="BK51" i="160"/>
  <c r="BG51" i="160"/>
  <c r="BC51" i="160"/>
  <c r="AY51" i="160"/>
  <c r="AU51" i="160"/>
  <c r="AQ51" i="160"/>
  <c r="AM51" i="160"/>
  <c r="AI51" i="160"/>
  <c r="AE51" i="160"/>
  <c r="AA51" i="160"/>
  <c r="W51" i="160"/>
  <c r="S51" i="160"/>
  <c r="O51" i="160"/>
  <c r="J51" i="160"/>
  <c r="BW50" i="160"/>
  <c r="BS50" i="160"/>
  <c r="BO50" i="160"/>
  <c r="BK50" i="160"/>
  <c r="BG50" i="160"/>
  <c r="BC50" i="160"/>
  <c r="AY50" i="160"/>
  <c r="AU50" i="160"/>
  <c r="AQ50" i="160"/>
  <c r="AM50" i="160"/>
  <c r="AI50" i="160"/>
  <c r="AE50" i="160"/>
  <c r="AA50" i="160"/>
  <c r="W50" i="160"/>
  <c r="S50" i="160"/>
  <c r="O50" i="160"/>
  <c r="J50" i="160"/>
  <c r="BW49" i="160"/>
  <c r="BS49" i="160"/>
  <c r="BO49" i="160"/>
  <c r="BK49" i="160"/>
  <c r="BG49" i="160"/>
  <c r="BC49" i="160"/>
  <c r="AY49" i="160"/>
  <c r="AU49" i="160"/>
  <c r="AQ49" i="160"/>
  <c r="AM49" i="160"/>
  <c r="AI49" i="160"/>
  <c r="AE49" i="160"/>
  <c r="AA49" i="160"/>
  <c r="W49" i="160"/>
  <c r="S49" i="160"/>
  <c r="O49" i="160"/>
  <c r="J49" i="160"/>
  <c r="BW48" i="160"/>
  <c r="BS48" i="160"/>
  <c r="BO48" i="160"/>
  <c r="BK48" i="160"/>
  <c r="BG48" i="160"/>
  <c r="BC48" i="160"/>
  <c r="AY48" i="160"/>
  <c r="AU48" i="160"/>
  <c r="AQ48" i="160"/>
  <c r="AM48" i="160"/>
  <c r="AI48" i="160"/>
  <c r="AE48" i="160"/>
  <c r="AA48" i="160"/>
  <c r="W48" i="160"/>
  <c r="S48" i="160"/>
  <c r="O48" i="160"/>
  <c r="J48" i="160"/>
  <c r="BW47" i="160"/>
  <c r="BS47" i="160"/>
  <c r="BO47" i="160"/>
  <c r="BK47" i="160"/>
  <c r="BG47" i="160"/>
  <c r="BC47" i="160"/>
  <c r="AY47" i="160"/>
  <c r="AU47" i="160"/>
  <c r="AQ47" i="160"/>
  <c r="AM47" i="160"/>
  <c r="AI47" i="160"/>
  <c r="AE47" i="160"/>
  <c r="AA47" i="160"/>
  <c r="W47" i="160"/>
  <c r="S47" i="160"/>
  <c r="O47" i="160"/>
  <c r="J47" i="160"/>
  <c r="BW46" i="160"/>
  <c r="BS46" i="160"/>
  <c r="BO46" i="160"/>
  <c r="BK46" i="160"/>
  <c r="BG46" i="160"/>
  <c r="BC46" i="160"/>
  <c r="AY46" i="160"/>
  <c r="AU46" i="160"/>
  <c r="AQ46" i="160"/>
  <c r="AM46" i="160"/>
  <c r="AI46" i="160"/>
  <c r="AE46" i="160"/>
  <c r="AA46" i="160"/>
  <c r="W46" i="160"/>
  <c r="S46" i="160"/>
  <c r="O46" i="160"/>
  <c r="J46" i="160"/>
  <c r="BW45" i="160"/>
  <c r="BS45" i="160"/>
  <c r="BO45" i="160"/>
  <c r="BK45" i="160"/>
  <c r="BG45" i="160"/>
  <c r="BC45" i="160"/>
  <c r="AY45" i="160"/>
  <c r="AU45" i="160"/>
  <c r="AQ45" i="160"/>
  <c r="AM45" i="160"/>
  <c r="AI45" i="160"/>
  <c r="AE45" i="160"/>
  <c r="AA45" i="160"/>
  <c r="W45" i="160"/>
  <c r="S45" i="160"/>
  <c r="O45" i="160"/>
  <c r="J45" i="160"/>
  <c r="BW44" i="160"/>
  <c r="BS44" i="160"/>
  <c r="BO44" i="160"/>
  <c r="BK44" i="160"/>
  <c r="BG44" i="160"/>
  <c r="BC44" i="160"/>
  <c r="AY44" i="160"/>
  <c r="AU44" i="160"/>
  <c r="AQ44" i="160"/>
  <c r="AM44" i="160"/>
  <c r="AI44" i="160"/>
  <c r="AE44" i="160"/>
  <c r="AA44" i="160"/>
  <c r="W44" i="160"/>
  <c r="S44" i="160"/>
  <c r="O44" i="160"/>
  <c r="J44" i="160"/>
  <c r="BW43" i="160"/>
  <c r="BS43" i="160"/>
  <c r="BO43" i="160"/>
  <c r="BK43" i="160"/>
  <c r="BG43" i="160"/>
  <c r="BC43" i="160"/>
  <c r="AY43" i="160"/>
  <c r="AU43" i="160"/>
  <c r="AQ43" i="160"/>
  <c r="AM43" i="160"/>
  <c r="AI43" i="160"/>
  <c r="AE43" i="160"/>
  <c r="AA43" i="160"/>
  <c r="W43" i="160"/>
  <c r="S43" i="160"/>
  <c r="O43" i="160"/>
  <c r="J43" i="160"/>
  <c r="BW42" i="160"/>
  <c r="BS42" i="160"/>
  <c r="BO42" i="160"/>
  <c r="BK42" i="160"/>
  <c r="BG42" i="160"/>
  <c r="BC42" i="160"/>
  <c r="AY42" i="160"/>
  <c r="AU42" i="160"/>
  <c r="AQ42" i="160"/>
  <c r="AM42" i="160"/>
  <c r="AI42" i="160"/>
  <c r="AE42" i="160"/>
  <c r="AA42" i="160"/>
  <c r="W42" i="160"/>
  <c r="S42" i="160"/>
  <c r="O42" i="160"/>
  <c r="J42" i="160"/>
  <c r="BW41" i="160"/>
  <c r="BS41" i="160"/>
  <c r="BO41" i="160"/>
  <c r="BK41" i="160"/>
  <c r="BG41" i="160"/>
  <c r="BC41" i="160"/>
  <c r="AY41" i="160"/>
  <c r="AU41" i="160"/>
  <c r="AQ41" i="160"/>
  <c r="AM41" i="160"/>
  <c r="AI41" i="160"/>
  <c r="AE41" i="160"/>
  <c r="AA41" i="160"/>
  <c r="W41" i="160"/>
  <c r="S41" i="160"/>
  <c r="O41" i="160"/>
  <c r="J41" i="160"/>
  <c r="BW40" i="160"/>
  <c r="BS40" i="160"/>
  <c r="BO40" i="160"/>
  <c r="BK40" i="160"/>
  <c r="BG40" i="160"/>
  <c r="BC40" i="160"/>
  <c r="AY40" i="160"/>
  <c r="AU40" i="160"/>
  <c r="AQ40" i="160"/>
  <c r="AM40" i="160"/>
  <c r="AI40" i="160"/>
  <c r="AE40" i="160"/>
  <c r="AA40" i="160"/>
  <c r="W40" i="160"/>
  <c r="S40" i="160"/>
  <c r="O40" i="160"/>
  <c r="J40" i="160"/>
  <c r="BW39" i="160"/>
  <c r="BS39" i="160"/>
  <c r="BO39" i="160"/>
  <c r="BK39" i="160"/>
  <c r="BG39" i="160"/>
  <c r="BC39" i="160"/>
  <c r="AY39" i="160"/>
  <c r="AU39" i="160"/>
  <c r="AQ39" i="160"/>
  <c r="AM39" i="160"/>
  <c r="AI39" i="160"/>
  <c r="AE39" i="160"/>
  <c r="AA39" i="160"/>
  <c r="W39" i="160"/>
  <c r="S39" i="160"/>
  <c r="O39" i="160"/>
  <c r="J39" i="160"/>
  <c r="BW38" i="160"/>
  <c r="BS38" i="160"/>
  <c r="BO38" i="160"/>
  <c r="BK38" i="160"/>
  <c r="BG38" i="160"/>
  <c r="BC38" i="160"/>
  <c r="AY38" i="160"/>
  <c r="AU38" i="160"/>
  <c r="AQ38" i="160"/>
  <c r="AM38" i="160"/>
  <c r="AI38" i="160"/>
  <c r="AE38" i="160"/>
  <c r="AA38" i="160"/>
  <c r="W38" i="160"/>
  <c r="S38" i="160"/>
  <c r="O38" i="160"/>
  <c r="J38" i="160"/>
  <c r="BW37" i="160"/>
  <c r="BS37" i="160"/>
  <c r="BO37" i="160"/>
  <c r="BK37" i="160"/>
  <c r="BG37" i="160"/>
  <c r="BC37" i="160"/>
  <c r="AY37" i="160"/>
  <c r="AU37" i="160"/>
  <c r="AQ37" i="160"/>
  <c r="AM37" i="160"/>
  <c r="AI37" i="160"/>
  <c r="AE37" i="160"/>
  <c r="AA37" i="160"/>
  <c r="W37" i="160"/>
  <c r="S37" i="160"/>
  <c r="O37" i="160"/>
  <c r="J37" i="160"/>
  <c r="BW36" i="160"/>
  <c r="BS36" i="160"/>
  <c r="BO36" i="160"/>
  <c r="BK36" i="160"/>
  <c r="BG36" i="160"/>
  <c r="BC36" i="160"/>
  <c r="AY36" i="160"/>
  <c r="AU36" i="160"/>
  <c r="AQ36" i="160"/>
  <c r="AM36" i="160"/>
  <c r="AI36" i="160"/>
  <c r="AE36" i="160"/>
  <c r="AA36" i="160"/>
  <c r="W36" i="160"/>
  <c r="S36" i="160"/>
  <c r="O36" i="160"/>
  <c r="J36" i="160"/>
  <c r="BW35" i="160"/>
  <c r="BS35" i="160"/>
  <c r="BO35" i="160"/>
  <c r="BK35" i="160"/>
  <c r="BG35" i="160"/>
  <c r="BC35" i="160"/>
  <c r="AY35" i="160"/>
  <c r="AU35" i="160"/>
  <c r="AQ35" i="160"/>
  <c r="AM35" i="160"/>
  <c r="AI35" i="160"/>
  <c r="AE35" i="160"/>
  <c r="AA35" i="160"/>
  <c r="W35" i="160"/>
  <c r="S35" i="160"/>
  <c r="O35" i="160"/>
  <c r="J35" i="160"/>
  <c r="BW34" i="160"/>
  <c r="BS34" i="160"/>
  <c r="BO34" i="160"/>
  <c r="BK34" i="160"/>
  <c r="BG34" i="160"/>
  <c r="BC34" i="160"/>
  <c r="AY34" i="160"/>
  <c r="AU34" i="160"/>
  <c r="AQ34" i="160"/>
  <c r="AM34" i="160"/>
  <c r="AI34" i="160"/>
  <c r="AE34" i="160"/>
  <c r="AA34" i="160"/>
  <c r="W34" i="160"/>
  <c r="S34" i="160"/>
  <c r="O34" i="160"/>
  <c r="J34" i="160"/>
  <c r="BW33" i="160"/>
  <c r="BS33" i="160"/>
  <c r="BO33" i="160"/>
  <c r="BK33" i="160"/>
  <c r="BG33" i="160"/>
  <c r="BC33" i="160"/>
  <c r="AY33" i="160"/>
  <c r="AU33" i="160"/>
  <c r="AQ33" i="160"/>
  <c r="AM33" i="160"/>
  <c r="AI33" i="160"/>
  <c r="AE33" i="160"/>
  <c r="AA33" i="160"/>
  <c r="W33" i="160"/>
  <c r="S33" i="160"/>
  <c r="O33" i="160"/>
  <c r="J33" i="160"/>
  <c r="BW32" i="160"/>
  <c r="BS32" i="160"/>
  <c r="BO32" i="160"/>
  <c r="BK32" i="160"/>
  <c r="BG32" i="160"/>
  <c r="BC32" i="160"/>
  <c r="AY32" i="160"/>
  <c r="AU32" i="160"/>
  <c r="AQ32" i="160"/>
  <c r="AM32" i="160"/>
  <c r="AI32" i="160"/>
  <c r="AE32" i="160"/>
  <c r="AA32" i="160"/>
  <c r="W32" i="160"/>
  <c r="S32" i="160"/>
  <c r="O32" i="160"/>
  <c r="J32" i="160"/>
  <c r="BW31" i="160"/>
  <c r="BS31" i="160"/>
  <c r="BO31" i="160"/>
  <c r="BK31" i="160"/>
  <c r="BG31" i="160"/>
  <c r="BC31" i="160"/>
  <c r="AY31" i="160"/>
  <c r="AU31" i="160"/>
  <c r="AQ31" i="160"/>
  <c r="AM31" i="160"/>
  <c r="AI31" i="160"/>
  <c r="AE31" i="160"/>
  <c r="AA31" i="160"/>
  <c r="W31" i="160"/>
  <c r="S31" i="160"/>
  <c r="O31" i="160"/>
  <c r="J31" i="160"/>
  <c r="BW30" i="160"/>
  <c r="BS30" i="160"/>
  <c r="BO30" i="160"/>
  <c r="BK30" i="160"/>
  <c r="BG30" i="160"/>
  <c r="BC30" i="160"/>
  <c r="AY30" i="160"/>
  <c r="AU30" i="160"/>
  <c r="AQ30" i="160"/>
  <c r="AM30" i="160"/>
  <c r="AI30" i="160"/>
  <c r="AE30" i="160"/>
  <c r="AA30" i="160"/>
  <c r="W30" i="160"/>
  <c r="S30" i="160"/>
  <c r="O30" i="160"/>
  <c r="J30" i="160"/>
  <c r="BW29" i="160"/>
  <c r="BS29" i="160"/>
  <c r="BO29" i="160"/>
  <c r="BK29" i="160"/>
  <c r="BG29" i="160"/>
  <c r="BC29" i="160"/>
  <c r="AY29" i="160"/>
  <c r="AU29" i="160"/>
  <c r="AQ29" i="160"/>
  <c r="AM29" i="160"/>
  <c r="AI29" i="160"/>
  <c r="AE29" i="160"/>
  <c r="AA29" i="160"/>
  <c r="W29" i="160"/>
  <c r="S29" i="160"/>
  <c r="O29" i="160"/>
  <c r="J29" i="160"/>
  <c r="BW28" i="160"/>
  <c r="BS28" i="160"/>
  <c r="BO28" i="160"/>
  <c r="BK28" i="160"/>
  <c r="BG28" i="160"/>
  <c r="BC28" i="160"/>
  <c r="AY28" i="160"/>
  <c r="AU28" i="160"/>
  <c r="AQ28" i="160"/>
  <c r="AM28" i="160"/>
  <c r="AI28" i="160"/>
  <c r="AE28" i="160"/>
  <c r="AA28" i="160"/>
  <c r="W28" i="160"/>
  <c r="S28" i="160"/>
  <c r="O28" i="160"/>
  <c r="J28" i="160"/>
  <c r="BW27" i="160"/>
  <c r="BS27" i="160"/>
  <c r="BO27" i="160"/>
  <c r="BK27" i="160"/>
  <c r="BG27" i="160"/>
  <c r="BC27" i="160"/>
  <c r="AY27" i="160"/>
  <c r="AU27" i="160"/>
  <c r="AQ27" i="160"/>
  <c r="AM27" i="160"/>
  <c r="AI27" i="160"/>
  <c r="AE27" i="160"/>
  <c r="AA27" i="160"/>
  <c r="W27" i="160"/>
  <c r="S27" i="160"/>
  <c r="O27" i="160"/>
  <c r="J27" i="160"/>
  <c r="BW26" i="160"/>
  <c r="BS26" i="160"/>
  <c r="BO26" i="160"/>
  <c r="BK26" i="160"/>
  <c r="BG26" i="160"/>
  <c r="BC26" i="160"/>
  <c r="AY26" i="160"/>
  <c r="AU26" i="160"/>
  <c r="AQ26" i="160"/>
  <c r="AM26" i="160"/>
  <c r="AI26" i="160"/>
  <c r="AE26" i="160"/>
  <c r="AA26" i="160"/>
  <c r="W26" i="160"/>
  <c r="S26" i="160"/>
  <c r="O26" i="160"/>
  <c r="J26" i="160"/>
  <c r="BW25" i="160"/>
  <c r="BS25" i="160"/>
  <c r="BO25" i="160"/>
  <c r="BK25" i="160"/>
  <c r="BG25" i="160"/>
  <c r="BC25" i="160"/>
  <c r="AY25" i="160"/>
  <c r="AU25" i="160"/>
  <c r="AQ25" i="160"/>
  <c r="AM25" i="160"/>
  <c r="AI25" i="160"/>
  <c r="AE25" i="160"/>
  <c r="AA25" i="160"/>
  <c r="W25" i="160"/>
  <c r="S25" i="160"/>
  <c r="O25" i="160"/>
  <c r="J25" i="160"/>
  <c r="BW24" i="160"/>
  <c r="BS24" i="160"/>
  <c r="BO24" i="160"/>
  <c r="BK24" i="160"/>
  <c r="BG24" i="160"/>
  <c r="BC24" i="160"/>
  <c r="AY24" i="160"/>
  <c r="AU24" i="160"/>
  <c r="AQ24" i="160"/>
  <c r="AM24" i="160"/>
  <c r="AI24" i="160"/>
  <c r="AE24" i="160"/>
  <c r="AA24" i="160"/>
  <c r="W24" i="160"/>
  <c r="S24" i="160"/>
  <c r="O24" i="160"/>
  <c r="J24" i="160"/>
  <c r="BW23" i="160"/>
  <c r="BS23" i="160"/>
  <c r="BO23" i="160"/>
  <c r="BK23" i="160"/>
  <c r="BG23" i="160"/>
  <c r="BC23" i="160"/>
  <c r="AY23" i="160"/>
  <c r="AU23" i="160"/>
  <c r="AQ23" i="160"/>
  <c r="AM23" i="160"/>
  <c r="AI23" i="160"/>
  <c r="AE23" i="160"/>
  <c r="AA23" i="160"/>
  <c r="W23" i="160"/>
  <c r="S23" i="160"/>
  <c r="O23" i="160"/>
  <c r="J23" i="160"/>
  <c r="BW22" i="160"/>
  <c r="BS22" i="160"/>
  <c r="BO22" i="160"/>
  <c r="BK22" i="160"/>
  <c r="BG22" i="160"/>
  <c r="BC22" i="160"/>
  <c r="AY22" i="160"/>
  <c r="AU22" i="160"/>
  <c r="AQ22" i="160"/>
  <c r="AM22" i="160"/>
  <c r="AI22" i="160"/>
  <c r="AE22" i="160"/>
  <c r="AA22" i="160"/>
  <c r="W22" i="160"/>
  <c r="S22" i="160"/>
  <c r="O22" i="160"/>
  <c r="J22" i="160"/>
  <c r="BW21" i="160"/>
  <c r="BS21" i="160"/>
  <c r="BO21" i="160"/>
  <c r="BK21" i="160"/>
  <c r="BG21" i="160"/>
  <c r="BC21" i="160"/>
  <c r="AY21" i="160"/>
  <c r="AU21" i="160"/>
  <c r="AQ21" i="160"/>
  <c r="AM21" i="160"/>
  <c r="AI21" i="160"/>
  <c r="AE21" i="160"/>
  <c r="AA21" i="160"/>
  <c r="W21" i="160"/>
  <c r="S21" i="160"/>
  <c r="O21" i="160"/>
  <c r="J21" i="160"/>
  <c r="BW20" i="160"/>
  <c r="BS20" i="160"/>
  <c r="BO20" i="160"/>
  <c r="BK20" i="160"/>
  <c r="BG20" i="160"/>
  <c r="BC20" i="160"/>
  <c r="AY20" i="160"/>
  <c r="AU20" i="160"/>
  <c r="AQ20" i="160"/>
  <c r="AM20" i="160"/>
  <c r="AI20" i="160"/>
  <c r="AE20" i="160"/>
  <c r="AA20" i="160"/>
  <c r="W20" i="160"/>
  <c r="S20" i="160"/>
  <c r="O20" i="160"/>
  <c r="J20" i="160"/>
  <c r="BW19" i="160"/>
  <c r="BS19" i="160"/>
  <c r="BO19" i="160"/>
  <c r="BK19" i="160"/>
  <c r="BG19" i="160"/>
  <c r="BC19" i="160"/>
  <c r="AY19" i="160"/>
  <c r="AU19" i="160"/>
  <c r="AQ19" i="160"/>
  <c r="AM19" i="160"/>
  <c r="AI19" i="160"/>
  <c r="AE19" i="160"/>
  <c r="AA19" i="160"/>
  <c r="W19" i="160"/>
  <c r="S19" i="160"/>
  <c r="O19" i="160"/>
  <c r="J19" i="160"/>
  <c r="BW18" i="160"/>
  <c r="BS18" i="160"/>
  <c r="BO18" i="160"/>
  <c r="BK18" i="160"/>
  <c r="BG18" i="160"/>
  <c r="BC18" i="160"/>
  <c r="AY18" i="160"/>
  <c r="AU18" i="160"/>
  <c r="AQ18" i="160"/>
  <c r="AM18" i="160"/>
  <c r="AI18" i="160"/>
  <c r="AE18" i="160"/>
  <c r="AA18" i="160"/>
  <c r="W18" i="160"/>
  <c r="S18" i="160"/>
  <c r="O18" i="160"/>
  <c r="J18" i="160"/>
  <c r="BW17" i="160"/>
  <c r="BS17" i="160"/>
  <c r="BO17" i="160"/>
  <c r="BK17" i="160"/>
  <c r="BG17" i="160"/>
  <c r="BC17" i="160"/>
  <c r="AY17" i="160"/>
  <c r="AU17" i="160"/>
  <c r="AQ17" i="160"/>
  <c r="AM17" i="160"/>
  <c r="AI17" i="160"/>
  <c r="AE17" i="160"/>
  <c r="AA17" i="160"/>
  <c r="W17" i="160"/>
  <c r="S17" i="160"/>
  <c r="O17" i="160"/>
  <c r="J17" i="160"/>
  <c r="BW16" i="160"/>
  <c r="BS16" i="160"/>
  <c r="BO16" i="160"/>
  <c r="BK16" i="160"/>
  <c r="BG16" i="160"/>
  <c r="BC16" i="160"/>
  <c r="AY16" i="160"/>
  <c r="AU16" i="160"/>
  <c r="AQ16" i="160"/>
  <c r="AM16" i="160"/>
  <c r="AI16" i="160"/>
  <c r="AE16" i="160"/>
  <c r="AA16" i="160"/>
  <c r="W16" i="160"/>
  <c r="S16" i="160"/>
  <c r="O16" i="160"/>
  <c r="J16" i="160"/>
  <c r="BW15" i="160"/>
  <c r="BS15" i="160"/>
  <c r="BO15" i="160"/>
  <c r="BK15" i="160"/>
  <c r="BG15" i="160"/>
  <c r="BC15" i="160"/>
  <c r="AY15" i="160"/>
  <c r="AU15" i="160"/>
  <c r="AQ15" i="160"/>
  <c r="AM15" i="160"/>
  <c r="AI15" i="160"/>
  <c r="AE15" i="160"/>
  <c r="AA15" i="160"/>
  <c r="W15" i="160"/>
  <c r="S15" i="160"/>
  <c r="O15" i="160"/>
  <c r="J15" i="160"/>
  <c r="BW14" i="160"/>
  <c r="BS14" i="160"/>
  <c r="BO14" i="160"/>
  <c r="BK14" i="160"/>
  <c r="BG14" i="160"/>
  <c r="BC14" i="160"/>
  <c r="AY14" i="160"/>
  <c r="AU14" i="160"/>
  <c r="AQ14" i="160"/>
  <c r="AM14" i="160"/>
  <c r="AI14" i="160"/>
  <c r="AE14" i="160"/>
  <c r="AA14" i="160"/>
  <c r="W14" i="160"/>
  <c r="S14" i="160"/>
  <c r="O14" i="160"/>
  <c r="J14" i="160"/>
  <c r="BW13" i="160"/>
  <c r="BS13" i="160"/>
  <c r="BO13" i="160"/>
  <c r="BK13" i="160"/>
  <c r="BG13" i="160"/>
  <c r="BC13" i="160"/>
  <c r="AY13" i="160"/>
  <c r="AU13" i="160"/>
  <c r="AQ13" i="160"/>
  <c r="AM13" i="160"/>
  <c r="AI13" i="160"/>
  <c r="AE13" i="160"/>
  <c r="AA13" i="160"/>
  <c r="W13" i="160"/>
  <c r="S13" i="160"/>
  <c r="O13" i="160"/>
  <c r="J13" i="160"/>
  <c r="BW12" i="160"/>
  <c r="BS12" i="160"/>
  <c r="BO12" i="160"/>
  <c r="BK12" i="160"/>
  <c r="BG12" i="160"/>
  <c r="BC12" i="160"/>
  <c r="AY12" i="160"/>
  <c r="AU12" i="160"/>
  <c r="AQ12" i="160"/>
  <c r="AM12" i="160"/>
  <c r="AI12" i="160"/>
  <c r="AE12" i="160"/>
  <c r="AA12" i="160"/>
  <c r="W12" i="160"/>
  <c r="S12" i="160"/>
  <c r="O12" i="160"/>
  <c r="J12" i="160"/>
  <c r="BW11" i="160"/>
  <c r="BS11" i="160"/>
  <c r="BO11" i="160"/>
  <c r="BK11" i="160"/>
  <c r="BG11" i="160"/>
  <c r="BC11" i="160"/>
  <c r="AY11" i="160"/>
  <c r="AU11" i="160"/>
  <c r="AQ11" i="160"/>
  <c r="AM11" i="160"/>
  <c r="AI11" i="160"/>
  <c r="AE11" i="160"/>
  <c r="AA11" i="160"/>
  <c r="W11" i="160"/>
  <c r="S11" i="160"/>
  <c r="O11" i="160"/>
  <c r="J11" i="160"/>
  <c r="BW10" i="160"/>
  <c r="BS10" i="160"/>
  <c r="BO10" i="160"/>
  <c r="BK10" i="160"/>
  <c r="BG10" i="160"/>
  <c r="BC10" i="160"/>
  <c r="AY10" i="160"/>
  <c r="AU10" i="160"/>
  <c r="AQ10" i="160"/>
  <c r="AM10" i="160"/>
  <c r="AI10" i="160"/>
  <c r="AE10" i="160"/>
  <c r="AA10" i="160"/>
  <c r="W10" i="160"/>
  <c r="S10" i="160"/>
  <c r="O10" i="160"/>
  <c r="J10" i="160"/>
  <c r="BW9" i="160"/>
  <c r="BS9" i="160"/>
  <c r="BO9" i="160"/>
  <c r="BK9" i="160"/>
  <c r="BG9" i="160"/>
  <c r="BC9" i="160"/>
  <c r="AY9" i="160"/>
  <c r="AU9" i="160"/>
  <c r="AQ9" i="160"/>
  <c r="AM9" i="160"/>
  <c r="AI9" i="160"/>
  <c r="AE9" i="160"/>
  <c r="AA9" i="160"/>
  <c r="W9" i="160"/>
  <c r="S9" i="160"/>
  <c r="O9" i="160"/>
  <c r="J9" i="160"/>
  <c r="BW8" i="160"/>
  <c r="BS8" i="160"/>
  <c r="BO8" i="160"/>
  <c r="BK8" i="160"/>
  <c r="BG8" i="160"/>
  <c r="BC8" i="160"/>
  <c r="AY8" i="160"/>
  <c r="AU8" i="160"/>
  <c r="AQ8" i="160"/>
  <c r="AM8" i="160"/>
  <c r="AI8" i="160"/>
  <c r="AE8" i="160"/>
  <c r="AA8" i="160"/>
  <c r="W8" i="160"/>
  <c r="S8" i="160"/>
  <c r="O8" i="160"/>
  <c r="J8" i="160"/>
  <c r="BW7" i="160"/>
  <c r="BS7" i="160"/>
  <c r="BO7" i="160"/>
  <c r="BK7" i="160"/>
  <c r="BG7" i="160"/>
  <c r="BC7" i="160"/>
  <c r="AY7" i="160"/>
  <c r="AU7" i="160"/>
  <c r="AQ7" i="160"/>
  <c r="AM7" i="160"/>
  <c r="AI7" i="160"/>
  <c r="AE7" i="160"/>
  <c r="AA7" i="160"/>
  <c r="W7" i="160"/>
  <c r="S7" i="160"/>
  <c r="O7" i="160"/>
  <c r="J7" i="160"/>
  <c r="BR6" i="160"/>
  <c r="BS6" i="160" s="1"/>
  <c r="BQ6" i="160"/>
  <c r="BP6" i="160"/>
  <c r="BO6" i="160"/>
  <c r="BN6" i="160"/>
  <c r="BL6" i="160"/>
  <c r="BJ6" i="160"/>
  <c r="BK6" i="160" s="1"/>
  <c r="AT6" i="160"/>
  <c r="AU6" i="160" s="1"/>
  <c r="AS6" i="160"/>
  <c r="AR6" i="160"/>
  <c r="AQ6" i="160"/>
  <c r="AP6" i="160"/>
  <c r="AN6" i="160"/>
  <c r="AL6" i="160"/>
  <c r="AM6" i="160" s="1"/>
  <c r="AE6" i="160"/>
  <c r="AD6" i="160"/>
  <c r="V6" i="160"/>
  <c r="W6" i="160" s="1"/>
  <c r="U6" i="160"/>
  <c r="T6" i="160"/>
  <c r="S6" i="160"/>
  <c r="R6" i="160"/>
  <c r="P6" i="160"/>
  <c r="N6" i="160"/>
  <c r="O6" i="160" s="1"/>
  <c r="BP5" i="160"/>
  <c r="BS5" i="160" s="1"/>
  <c r="BO5" i="160"/>
  <c r="BL5" i="160"/>
  <c r="BH5" i="160"/>
  <c r="BK5" i="160" s="1"/>
  <c r="BD5" i="160"/>
  <c r="BG5" i="160" s="1"/>
  <c r="AR5" i="160"/>
  <c r="AU5" i="160" s="1"/>
  <c r="AQ5" i="160"/>
  <c r="AN5" i="160"/>
  <c r="AJ5" i="160"/>
  <c r="AM5" i="160" s="1"/>
  <c r="AF5" i="160"/>
  <c r="AI5" i="160" s="1"/>
  <c r="T5" i="160"/>
  <c r="W5" i="160" s="1"/>
  <c r="S5" i="160"/>
  <c r="P5" i="160"/>
  <c r="L5" i="160"/>
  <c r="O5" i="160" s="1"/>
  <c r="BS4" i="160"/>
  <c r="BT5" i="160" s="1"/>
  <c r="BW5" i="160" s="1"/>
  <c r="BP4" i="160"/>
  <c r="BO4" i="160"/>
  <c r="BK4" i="160"/>
  <c r="BL4" i="160" s="1"/>
  <c r="BG4" i="160"/>
  <c r="BH4" i="160" s="1"/>
  <c r="BD4" i="160"/>
  <c r="BC4" i="160"/>
  <c r="BF6" i="160" s="1"/>
  <c r="BG6" i="160" s="1"/>
  <c r="AY4" i="160"/>
  <c r="BB6" i="160" s="1"/>
  <c r="BC6" i="160" s="1"/>
  <c r="AU4" i="160"/>
  <c r="AV5" i="160" s="1"/>
  <c r="AY5" i="160" s="1"/>
  <c r="AR4" i="160"/>
  <c r="AQ4" i="160"/>
  <c r="AM4" i="160"/>
  <c r="AN4" i="160" s="1"/>
  <c r="AI4" i="160"/>
  <c r="AJ4" i="160" s="1"/>
  <c r="AF4" i="160"/>
  <c r="AE4" i="160"/>
  <c r="AH6" i="160" s="1"/>
  <c r="AI6" i="160" s="1"/>
  <c r="AA4" i="160"/>
  <c r="AC6" i="160" s="1"/>
  <c r="W4" i="160"/>
  <c r="X5" i="160" s="1"/>
  <c r="AA5" i="160" s="1"/>
  <c r="T4" i="160"/>
  <c r="S4" i="160"/>
  <c r="O4" i="160"/>
  <c r="P4" i="160" s="1"/>
  <c r="K4" i="160"/>
  <c r="L4" i="160" s="1"/>
  <c r="J4" i="160"/>
  <c r="BT3" i="160"/>
  <c r="BP3" i="160"/>
  <c r="BL3" i="160"/>
  <c r="BH3" i="160"/>
  <c r="BD3" i="160"/>
  <c r="AZ3" i="160"/>
  <c r="AV3" i="160"/>
  <c r="AR3" i="160"/>
  <c r="AN3" i="160"/>
  <c r="AJ3" i="160"/>
  <c r="AF3" i="160"/>
  <c r="AB3" i="160"/>
  <c r="X3" i="160"/>
  <c r="T3" i="160"/>
  <c r="P3" i="160"/>
  <c r="L3" i="160"/>
  <c r="J3" i="160"/>
  <c r="J2" i="160"/>
  <c r="F1" i="160"/>
  <c r="BW82" i="159"/>
  <c r="BS82" i="159"/>
  <c r="BO82" i="159"/>
  <c r="BK82" i="159"/>
  <c r="BG82" i="159"/>
  <c r="BC82" i="159"/>
  <c r="AY82" i="159"/>
  <c r="AU82" i="159"/>
  <c r="AQ82" i="159"/>
  <c r="AM82" i="159"/>
  <c r="AI82" i="159"/>
  <c r="AE82" i="159"/>
  <c r="AA82" i="159"/>
  <c r="W82" i="159"/>
  <c r="S82" i="159"/>
  <c r="O82" i="159"/>
  <c r="J82" i="159"/>
  <c r="BW81" i="159"/>
  <c r="BS81" i="159"/>
  <c r="BO81" i="159"/>
  <c r="BK81" i="159"/>
  <c r="BG81" i="159"/>
  <c r="BC81" i="159"/>
  <c r="AY81" i="159"/>
  <c r="AU81" i="159"/>
  <c r="AQ81" i="159"/>
  <c r="AM81" i="159"/>
  <c r="AI81" i="159"/>
  <c r="AE81" i="159"/>
  <c r="AA81" i="159"/>
  <c r="W81" i="159"/>
  <c r="S81" i="159"/>
  <c r="O81" i="159"/>
  <c r="J81" i="159"/>
  <c r="BW80" i="159"/>
  <c r="BS80" i="159"/>
  <c r="BO80" i="159"/>
  <c r="BK80" i="159"/>
  <c r="BG80" i="159"/>
  <c r="BC80" i="159"/>
  <c r="AY80" i="159"/>
  <c r="AU80" i="159"/>
  <c r="AQ80" i="159"/>
  <c r="AM80" i="159"/>
  <c r="AI80" i="159"/>
  <c r="AE80" i="159"/>
  <c r="AA80" i="159"/>
  <c r="W80" i="159"/>
  <c r="S80" i="159"/>
  <c r="O80" i="159"/>
  <c r="J80" i="159"/>
  <c r="BW79" i="159"/>
  <c r="BS79" i="159"/>
  <c r="BO79" i="159"/>
  <c r="BK79" i="159"/>
  <c r="BG79" i="159"/>
  <c r="BC79" i="159"/>
  <c r="AY79" i="159"/>
  <c r="AU79" i="159"/>
  <c r="AQ79" i="159"/>
  <c r="AM79" i="159"/>
  <c r="AI79" i="159"/>
  <c r="AE79" i="159"/>
  <c r="AA79" i="159"/>
  <c r="W79" i="159"/>
  <c r="S79" i="159"/>
  <c r="O79" i="159"/>
  <c r="J79" i="159"/>
  <c r="BW78" i="159"/>
  <c r="BS78" i="159"/>
  <c r="BO78" i="159"/>
  <c r="BK78" i="159"/>
  <c r="BG78" i="159"/>
  <c r="BC78" i="159"/>
  <c r="AY78" i="159"/>
  <c r="AU78" i="159"/>
  <c r="AQ78" i="159"/>
  <c r="AM78" i="159"/>
  <c r="AI78" i="159"/>
  <c r="AE78" i="159"/>
  <c r="AA78" i="159"/>
  <c r="W78" i="159"/>
  <c r="S78" i="159"/>
  <c r="O78" i="159"/>
  <c r="J78" i="159"/>
  <c r="BW77" i="159"/>
  <c r="BS77" i="159"/>
  <c r="BO77" i="159"/>
  <c r="BK77" i="159"/>
  <c r="BG77" i="159"/>
  <c r="BC77" i="159"/>
  <c r="AY77" i="159"/>
  <c r="AU77" i="159"/>
  <c r="AQ77" i="159"/>
  <c r="AM77" i="159"/>
  <c r="AI77" i="159"/>
  <c r="AE77" i="159"/>
  <c r="AA77" i="159"/>
  <c r="W77" i="159"/>
  <c r="S77" i="159"/>
  <c r="O77" i="159"/>
  <c r="J77" i="159"/>
  <c r="BW76" i="159"/>
  <c r="BS76" i="159"/>
  <c r="BO76" i="159"/>
  <c r="BK76" i="159"/>
  <c r="BG76" i="159"/>
  <c r="BC76" i="159"/>
  <c r="AY76" i="159"/>
  <c r="AU76" i="159"/>
  <c r="AQ76" i="159"/>
  <c r="AM76" i="159"/>
  <c r="AI76" i="159"/>
  <c r="AE76" i="159"/>
  <c r="AA76" i="159"/>
  <c r="W76" i="159"/>
  <c r="S76" i="159"/>
  <c r="O76" i="159"/>
  <c r="J76" i="159"/>
  <c r="BW75" i="159"/>
  <c r="BS75" i="159"/>
  <c r="BO75" i="159"/>
  <c r="BK75" i="159"/>
  <c r="BG75" i="159"/>
  <c r="BC75" i="159"/>
  <c r="AY75" i="159"/>
  <c r="AU75" i="159"/>
  <c r="AQ75" i="159"/>
  <c r="AM75" i="159"/>
  <c r="AI75" i="159"/>
  <c r="AE75" i="159"/>
  <c r="AA75" i="159"/>
  <c r="W75" i="159"/>
  <c r="S75" i="159"/>
  <c r="O75" i="159"/>
  <c r="J75" i="159"/>
  <c r="BW74" i="159"/>
  <c r="BS74" i="159"/>
  <c r="BO74" i="159"/>
  <c r="BK74" i="159"/>
  <c r="BG74" i="159"/>
  <c r="BC74" i="159"/>
  <c r="AY74" i="159"/>
  <c r="AU74" i="159"/>
  <c r="AQ74" i="159"/>
  <c r="AM74" i="159"/>
  <c r="AI74" i="159"/>
  <c r="AE74" i="159"/>
  <c r="AA74" i="159"/>
  <c r="W74" i="159"/>
  <c r="S74" i="159"/>
  <c r="O74" i="159"/>
  <c r="J74" i="159"/>
  <c r="BW73" i="159"/>
  <c r="BS73" i="159"/>
  <c r="BO73" i="159"/>
  <c r="BK73" i="159"/>
  <c r="BG73" i="159"/>
  <c r="BC73" i="159"/>
  <c r="AY73" i="159"/>
  <c r="AU73" i="159"/>
  <c r="AQ73" i="159"/>
  <c r="AM73" i="159"/>
  <c r="AI73" i="159"/>
  <c r="AE73" i="159"/>
  <c r="AA73" i="159"/>
  <c r="W73" i="159"/>
  <c r="S73" i="159"/>
  <c r="O73" i="159"/>
  <c r="J73" i="159"/>
  <c r="BW72" i="159"/>
  <c r="BS72" i="159"/>
  <c r="BO72" i="159"/>
  <c r="BK72" i="159"/>
  <c r="BG72" i="159"/>
  <c r="BC72" i="159"/>
  <c r="AY72" i="159"/>
  <c r="AU72" i="159"/>
  <c r="AQ72" i="159"/>
  <c r="AM72" i="159"/>
  <c r="AI72" i="159"/>
  <c r="AE72" i="159"/>
  <c r="AA72" i="159"/>
  <c r="W72" i="159"/>
  <c r="S72" i="159"/>
  <c r="O72" i="159"/>
  <c r="J72" i="159"/>
  <c r="BW71" i="159"/>
  <c r="BS71" i="159"/>
  <c r="BO71" i="159"/>
  <c r="BK71" i="159"/>
  <c r="BG71" i="159"/>
  <c r="BC71" i="159"/>
  <c r="AY71" i="159"/>
  <c r="AU71" i="159"/>
  <c r="AQ71" i="159"/>
  <c r="AM71" i="159"/>
  <c r="AI71" i="159"/>
  <c r="AE71" i="159"/>
  <c r="AA71" i="159"/>
  <c r="W71" i="159"/>
  <c r="S71" i="159"/>
  <c r="O71" i="159"/>
  <c r="J71" i="159"/>
  <c r="BW70" i="159"/>
  <c r="BS70" i="159"/>
  <c r="BO70" i="159"/>
  <c r="BK70" i="159"/>
  <c r="BG70" i="159"/>
  <c r="BC70" i="159"/>
  <c r="AY70" i="159"/>
  <c r="AU70" i="159"/>
  <c r="AQ70" i="159"/>
  <c r="AM70" i="159"/>
  <c r="AI70" i="159"/>
  <c r="AE70" i="159"/>
  <c r="AA70" i="159"/>
  <c r="W70" i="159"/>
  <c r="S70" i="159"/>
  <c r="O70" i="159"/>
  <c r="J70" i="159"/>
  <c r="BW69" i="159"/>
  <c r="BS69" i="159"/>
  <c r="BO69" i="159"/>
  <c r="BK69" i="159"/>
  <c r="BG69" i="159"/>
  <c r="BC69" i="159"/>
  <c r="AY69" i="159"/>
  <c r="AU69" i="159"/>
  <c r="AQ69" i="159"/>
  <c r="AM69" i="159"/>
  <c r="AI69" i="159"/>
  <c r="AE69" i="159"/>
  <c r="AA69" i="159"/>
  <c r="W69" i="159"/>
  <c r="S69" i="159"/>
  <c r="O69" i="159"/>
  <c r="J69" i="159"/>
  <c r="BW68" i="159"/>
  <c r="BS68" i="159"/>
  <c r="BO68" i="159"/>
  <c r="BK68" i="159"/>
  <c r="BG68" i="159"/>
  <c r="BC68" i="159"/>
  <c r="AY68" i="159"/>
  <c r="AU68" i="159"/>
  <c r="AQ68" i="159"/>
  <c r="AM68" i="159"/>
  <c r="AI68" i="159"/>
  <c r="AE68" i="159"/>
  <c r="AA68" i="159"/>
  <c r="W68" i="159"/>
  <c r="S68" i="159"/>
  <c r="O68" i="159"/>
  <c r="J68" i="159"/>
  <c r="BW67" i="159"/>
  <c r="BS67" i="159"/>
  <c r="BO67" i="159"/>
  <c r="BK67" i="159"/>
  <c r="BG67" i="159"/>
  <c r="BC67" i="159"/>
  <c r="AY67" i="159"/>
  <c r="AU67" i="159"/>
  <c r="AQ67" i="159"/>
  <c r="AM67" i="159"/>
  <c r="AI67" i="159"/>
  <c r="AE67" i="159"/>
  <c r="AA67" i="159"/>
  <c r="W67" i="159"/>
  <c r="S67" i="159"/>
  <c r="O67" i="159"/>
  <c r="J67" i="159"/>
  <c r="BW66" i="159"/>
  <c r="BS66" i="159"/>
  <c r="BO66" i="159"/>
  <c r="BK66" i="159"/>
  <c r="BG66" i="159"/>
  <c r="BC66" i="159"/>
  <c r="AY66" i="159"/>
  <c r="AU66" i="159"/>
  <c r="AQ66" i="159"/>
  <c r="AM66" i="159"/>
  <c r="AI66" i="159"/>
  <c r="AE66" i="159"/>
  <c r="AA66" i="159"/>
  <c r="W66" i="159"/>
  <c r="S66" i="159"/>
  <c r="O66" i="159"/>
  <c r="J66" i="159"/>
  <c r="BW65" i="159"/>
  <c r="BS65" i="159"/>
  <c r="BO65" i="159"/>
  <c r="BK65" i="159"/>
  <c r="BG65" i="159"/>
  <c r="BC65" i="159"/>
  <c r="AY65" i="159"/>
  <c r="AU65" i="159"/>
  <c r="AQ65" i="159"/>
  <c r="AM65" i="159"/>
  <c r="AI65" i="159"/>
  <c r="AE65" i="159"/>
  <c r="AA65" i="159"/>
  <c r="W65" i="159"/>
  <c r="S65" i="159"/>
  <c r="O65" i="159"/>
  <c r="J65" i="159"/>
  <c r="BW64" i="159"/>
  <c r="BS64" i="159"/>
  <c r="BO64" i="159"/>
  <c r="BK64" i="159"/>
  <c r="BG64" i="159"/>
  <c r="BC64" i="159"/>
  <c r="AY64" i="159"/>
  <c r="AU64" i="159"/>
  <c r="AQ64" i="159"/>
  <c r="AM64" i="159"/>
  <c r="AI64" i="159"/>
  <c r="AE64" i="159"/>
  <c r="AA64" i="159"/>
  <c r="W64" i="159"/>
  <c r="S64" i="159"/>
  <c r="O64" i="159"/>
  <c r="J64" i="159"/>
  <c r="BW63" i="159"/>
  <c r="BS63" i="159"/>
  <c r="BO63" i="159"/>
  <c r="BK63" i="159"/>
  <c r="BG63" i="159"/>
  <c r="BC63" i="159"/>
  <c r="AY63" i="159"/>
  <c r="AU63" i="159"/>
  <c r="AQ63" i="159"/>
  <c r="AM63" i="159"/>
  <c r="AI63" i="159"/>
  <c r="AE63" i="159"/>
  <c r="AA63" i="159"/>
  <c r="W63" i="159"/>
  <c r="S63" i="159"/>
  <c r="O63" i="159"/>
  <c r="J63" i="159"/>
  <c r="BW62" i="159"/>
  <c r="BS62" i="159"/>
  <c r="BO62" i="159"/>
  <c r="BK62" i="159"/>
  <c r="BG62" i="159"/>
  <c r="BC62" i="159"/>
  <c r="AY62" i="159"/>
  <c r="AU62" i="159"/>
  <c r="AQ62" i="159"/>
  <c r="AM62" i="159"/>
  <c r="AI62" i="159"/>
  <c r="AE62" i="159"/>
  <c r="AA62" i="159"/>
  <c r="W62" i="159"/>
  <c r="S62" i="159"/>
  <c r="O62" i="159"/>
  <c r="J62" i="159"/>
  <c r="BW61" i="159"/>
  <c r="BS61" i="159"/>
  <c r="BO61" i="159"/>
  <c r="BK61" i="159"/>
  <c r="BG61" i="159"/>
  <c r="BC61" i="159"/>
  <c r="AY61" i="159"/>
  <c r="AU61" i="159"/>
  <c r="AQ61" i="159"/>
  <c r="AM61" i="159"/>
  <c r="AI61" i="159"/>
  <c r="AE61" i="159"/>
  <c r="AA61" i="159"/>
  <c r="W61" i="159"/>
  <c r="S61" i="159"/>
  <c r="O61" i="159"/>
  <c r="J61" i="159"/>
  <c r="BW60" i="159"/>
  <c r="BS60" i="159"/>
  <c r="BO60" i="159"/>
  <c r="BK60" i="159"/>
  <c r="BG60" i="159"/>
  <c r="BC60" i="159"/>
  <c r="AY60" i="159"/>
  <c r="AU60" i="159"/>
  <c r="AQ60" i="159"/>
  <c r="AM60" i="159"/>
  <c r="AI60" i="159"/>
  <c r="AE60" i="159"/>
  <c r="AA60" i="159"/>
  <c r="W60" i="159"/>
  <c r="S60" i="159"/>
  <c r="O60" i="159"/>
  <c r="J60" i="159"/>
  <c r="BW59" i="159"/>
  <c r="BS59" i="159"/>
  <c r="BO59" i="159"/>
  <c r="BK59" i="159"/>
  <c r="BG59" i="159"/>
  <c r="BC59" i="159"/>
  <c r="AY59" i="159"/>
  <c r="AU59" i="159"/>
  <c r="AQ59" i="159"/>
  <c r="AM59" i="159"/>
  <c r="AI59" i="159"/>
  <c r="AE59" i="159"/>
  <c r="AA59" i="159"/>
  <c r="W59" i="159"/>
  <c r="S59" i="159"/>
  <c r="O59" i="159"/>
  <c r="J59" i="159"/>
  <c r="BW58" i="159"/>
  <c r="BS58" i="159"/>
  <c r="BO58" i="159"/>
  <c r="BK58" i="159"/>
  <c r="BG58" i="159"/>
  <c r="BC58" i="159"/>
  <c r="AY58" i="159"/>
  <c r="AU58" i="159"/>
  <c r="AQ58" i="159"/>
  <c r="AM58" i="159"/>
  <c r="AI58" i="159"/>
  <c r="AE58" i="159"/>
  <c r="AA58" i="159"/>
  <c r="W58" i="159"/>
  <c r="S58" i="159"/>
  <c r="O58" i="159"/>
  <c r="J58" i="159"/>
  <c r="BW57" i="159"/>
  <c r="BS57" i="159"/>
  <c r="BO57" i="159"/>
  <c r="BK57" i="159"/>
  <c r="BG57" i="159"/>
  <c r="BC57" i="159"/>
  <c r="AY57" i="159"/>
  <c r="AU57" i="159"/>
  <c r="AQ57" i="159"/>
  <c r="AM57" i="159"/>
  <c r="AI57" i="159"/>
  <c r="AE57" i="159"/>
  <c r="AA57" i="159"/>
  <c r="W57" i="159"/>
  <c r="S57" i="159"/>
  <c r="O57" i="159"/>
  <c r="J57" i="159"/>
  <c r="BW56" i="159"/>
  <c r="BS56" i="159"/>
  <c r="BO56" i="159"/>
  <c r="BK56" i="159"/>
  <c r="BG56" i="159"/>
  <c r="BC56" i="159"/>
  <c r="AY56" i="159"/>
  <c r="AU56" i="159"/>
  <c r="AQ56" i="159"/>
  <c r="AM56" i="159"/>
  <c r="AI56" i="159"/>
  <c r="AE56" i="159"/>
  <c r="AA56" i="159"/>
  <c r="W56" i="159"/>
  <c r="S56" i="159"/>
  <c r="O56" i="159"/>
  <c r="J56" i="159"/>
  <c r="BW55" i="159"/>
  <c r="BS55" i="159"/>
  <c r="BO55" i="159"/>
  <c r="BK55" i="159"/>
  <c r="BG55" i="159"/>
  <c r="BC55" i="159"/>
  <c r="AY55" i="159"/>
  <c r="AU55" i="159"/>
  <c r="AQ55" i="159"/>
  <c r="AM55" i="159"/>
  <c r="AI55" i="159"/>
  <c r="AE55" i="159"/>
  <c r="AA55" i="159"/>
  <c r="W55" i="159"/>
  <c r="S55" i="159"/>
  <c r="O55" i="159"/>
  <c r="J55" i="159"/>
  <c r="BW54" i="159"/>
  <c r="BS54" i="159"/>
  <c r="BO54" i="159"/>
  <c r="BK54" i="159"/>
  <c r="BG54" i="159"/>
  <c r="BC54" i="159"/>
  <c r="AY54" i="159"/>
  <c r="AU54" i="159"/>
  <c r="AQ54" i="159"/>
  <c r="AM54" i="159"/>
  <c r="AI54" i="159"/>
  <c r="AE54" i="159"/>
  <c r="AA54" i="159"/>
  <c r="W54" i="159"/>
  <c r="S54" i="159"/>
  <c r="O54" i="159"/>
  <c r="J54" i="159"/>
  <c r="BW53" i="159"/>
  <c r="BS53" i="159"/>
  <c r="BO53" i="159"/>
  <c r="BK53" i="159"/>
  <c r="BG53" i="159"/>
  <c r="BC53" i="159"/>
  <c r="AY53" i="159"/>
  <c r="AU53" i="159"/>
  <c r="AQ53" i="159"/>
  <c r="AM53" i="159"/>
  <c r="AI53" i="159"/>
  <c r="AE53" i="159"/>
  <c r="AA53" i="159"/>
  <c r="W53" i="159"/>
  <c r="S53" i="159"/>
  <c r="O53" i="159"/>
  <c r="J53" i="159"/>
  <c r="BW52" i="159"/>
  <c r="BS52" i="159"/>
  <c r="BO52" i="159"/>
  <c r="BK52" i="159"/>
  <c r="BG52" i="159"/>
  <c r="BC52" i="159"/>
  <c r="AY52" i="159"/>
  <c r="AU52" i="159"/>
  <c r="AQ52" i="159"/>
  <c r="AM52" i="159"/>
  <c r="AI52" i="159"/>
  <c r="AE52" i="159"/>
  <c r="AA52" i="159"/>
  <c r="W52" i="159"/>
  <c r="S52" i="159"/>
  <c r="O52" i="159"/>
  <c r="J52" i="159"/>
  <c r="BW51" i="159"/>
  <c r="BS51" i="159"/>
  <c r="BO51" i="159"/>
  <c r="BK51" i="159"/>
  <c r="BG51" i="159"/>
  <c r="BC51" i="159"/>
  <c r="AY51" i="159"/>
  <c r="AU51" i="159"/>
  <c r="AQ51" i="159"/>
  <c r="AM51" i="159"/>
  <c r="AI51" i="159"/>
  <c r="AE51" i="159"/>
  <c r="AA51" i="159"/>
  <c r="W51" i="159"/>
  <c r="S51" i="159"/>
  <c r="O51" i="159"/>
  <c r="J51" i="159"/>
  <c r="BW50" i="159"/>
  <c r="BS50" i="159"/>
  <c r="BO50" i="159"/>
  <c r="BK50" i="159"/>
  <c r="BG50" i="159"/>
  <c r="BC50" i="159"/>
  <c r="AY50" i="159"/>
  <c r="AU50" i="159"/>
  <c r="AQ50" i="159"/>
  <c r="AM50" i="159"/>
  <c r="AI50" i="159"/>
  <c r="AE50" i="159"/>
  <c r="AA50" i="159"/>
  <c r="W50" i="159"/>
  <c r="S50" i="159"/>
  <c r="O50" i="159"/>
  <c r="J50" i="159"/>
  <c r="BW49" i="159"/>
  <c r="BS49" i="159"/>
  <c r="BO49" i="159"/>
  <c r="BK49" i="159"/>
  <c r="BG49" i="159"/>
  <c r="BC49" i="159"/>
  <c r="AY49" i="159"/>
  <c r="AU49" i="159"/>
  <c r="AQ49" i="159"/>
  <c r="AM49" i="159"/>
  <c r="AI49" i="159"/>
  <c r="AE49" i="159"/>
  <c r="AA49" i="159"/>
  <c r="W49" i="159"/>
  <c r="S49" i="159"/>
  <c r="O49" i="159"/>
  <c r="J49" i="159"/>
  <c r="BW48" i="159"/>
  <c r="BS48" i="159"/>
  <c r="BO48" i="159"/>
  <c r="BK48" i="159"/>
  <c r="BG48" i="159"/>
  <c r="BC48" i="159"/>
  <c r="AY48" i="159"/>
  <c r="AU48" i="159"/>
  <c r="AQ48" i="159"/>
  <c r="AM48" i="159"/>
  <c r="AI48" i="159"/>
  <c r="AE48" i="159"/>
  <c r="AA48" i="159"/>
  <c r="W48" i="159"/>
  <c r="S48" i="159"/>
  <c r="O48" i="159"/>
  <c r="J48" i="159"/>
  <c r="BW47" i="159"/>
  <c r="BS47" i="159"/>
  <c r="BO47" i="159"/>
  <c r="BK47" i="159"/>
  <c r="BG47" i="159"/>
  <c r="BC47" i="159"/>
  <c r="AY47" i="159"/>
  <c r="AU47" i="159"/>
  <c r="AQ47" i="159"/>
  <c r="AM47" i="159"/>
  <c r="AI47" i="159"/>
  <c r="AE47" i="159"/>
  <c r="AA47" i="159"/>
  <c r="W47" i="159"/>
  <c r="S47" i="159"/>
  <c r="O47" i="159"/>
  <c r="J47" i="159"/>
  <c r="BW46" i="159"/>
  <c r="BS46" i="159"/>
  <c r="BO46" i="159"/>
  <c r="BK46" i="159"/>
  <c r="BG46" i="159"/>
  <c r="BC46" i="159"/>
  <c r="AY46" i="159"/>
  <c r="AU46" i="159"/>
  <c r="AQ46" i="159"/>
  <c r="AM46" i="159"/>
  <c r="AI46" i="159"/>
  <c r="AE46" i="159"/>
  <c r="AA46" i="159"/>
  <c r="W46" i="159"/>
  <c r="S46" i="159"/>
  <c r="O46" i="159"/>
  <c r="J46" i="159"/>
  <c r="BW45" i="159"/>
  <c r="BS45" i="159"/>
  <c r="BO45" i="159"/>
  <c r="BK45" i="159"/>
  <c r="BG45" i="159"/>
  <c r="BC45" i="159"/>
  <c r="AY45" i="159"/>
  <c r="AU45" i="159"/>
  <c r="AQ45" i="159"/>
  <c r="AM45" i="159"/>
  <c r="AI45" i="159"/>
  <c r="AE45" i="159"/>
  <c r="AA45" i="159"/>
  <c r="W45" i="159"/>
  <c r="S45" i="159"/>
  <c r="O45" i="159"/>
  <c r="J45" i="159"/>
  <c r="BW44" i="159"/>
  <c r="BS44" i="159"/>
  <c r="BO44" i="159"/>
  <c r="BK44" i="159"/>
  <c r="BG44" i="159"/>
  <c r="BC44" i="159"/>
  <c r="AY44" i="159"/>
  <c r="AU44" i="159"/>
  <c r="AQ44" i="159"/>
  <c r="AM44" i="159"/>
  <c r="AI44" i="159"/>
  <c r="AE44" i="159"/>
  <c r="AA44" i="159"/>
  <c r="W44" i="159"/>
  <c r="S44" i="159"/>
  <c r="O44" i="159"/>
  <c r="J44" i="159"/>
  <c r="BW43" i="159"/>
  <c r="BS43" i="159"/>
  <c r="BO43" i="159"/>
  <c r="BK43" i="159"/>
  <c r="BG43" i="159"/>
  <c r="BC43" i="159"/>
  <c r="AY43" i="159"/>
  <c r="AU43" i="159"/>
  <c r="AQ43" i="159"/>
  <c r="AM43" i="159"/>
  <c r="AI43" i="159"/>
  <c r="AE43" i="159"/>
  <c r="AA43" i="159"/>
  <c r="W43" i="159"/>
  <c r="S43" i="159"/>
  <c r="O43" i="159"/>
  <c r="J43" i="159"/>
  <c r="BW42" i="159"/>
  <c r="BS42" i="159"/>
  <c r="BO42" i="159"/>
  <c r="BK42" i="159"/>
  <c r="BG42" i="159"/>
  <c r="BC42" i="159"/>
  <c r="AY42" i="159"/>
  <c r="AU42" i="159"/>
  <c r="AQ42" i="159"/>
  <c r="AM42" i="159"/>
  <c r="AI42" i="159"/>
  <c r="AE42" i="159"/>
  <c r="AA42" i="159"/>
  <c r="W42" i="159"/>
  <c r="S42" i="159"/>
  <c r="O42" i="159"/>
  <c r="J42" i="159"/>
  <c r="BW41" i="159"/>
  <c r="BS41" i="159"/>
  <c r="BO41" i="159"/>
  <c r="BK41" i="159"/>
  <c r="BG41" i="159"/>
  <c r="BC41" i="159"/>
  <c r="AY41" i="159"/>
  <c r="AU41" i="159"/>
  <c r="AQ41" i="159"/>
  <c r="AM41" i="159"/>
  <c r="AI41" i="159"/>
  <c r="AE41" i="159"/>
  <c r="AA41" i="159"/>
  <c r="W41" i="159"/>
  <c r="S41" i="159"/>
  <c r="O41" i="159"/>
  <c r="J41" i="159"/>
  <c r="BW40" i="159"/>
  <c r="BS40" i="159"/>
  <c r="BO40" i="159"/>
  <c r="BK40" i="159"/>
  <c r="BG40" i="159"/>
  <c r="BC40" i="159"/>
  <c r="AY40" i="159"/>
  <c r="AU40" i="159"/>
  <c r="AQ40" i="159"/>
  <c r="AM40" i="159"/>
  <c r="AI40" i="159"/>
  <c r="AE40" i="159"/>
  <c r="AA40" i="159"/>
  <c r="W40" i="159"/>
  <c r="S40" i="159"/>
  <c r="O40" i="159"/>
  <c r="J40" i="159"/>
  <c r="BW39" i="159"/>
  <c r="BS39" i="159"/>
  <c r="BO39" i="159"/>
  <c r="BK39" i="159"/>
  <c r="BG39" i="159"/>
  <c r="BC39" i="159"/>
  <c r="AY39" i="159"/>
  <c r="AU39" i="159"/>
  <c r="AQ39" i="159"/>
  <c r="AM39" i="159"/>
  <c r="AI39" i="159"/>
  <c r="AE39" i="159"/>
  <c r="AA39" i="159"/>
  <c r="W39" i="159"/>
  <c r="S39" i="159"/>
  <c r="O39" i="159"/>
  <c r="J39" i="159"/>
  <c r="BW38" i="159"/>
  <c r="BS38" i="159"/>
  <c r="BO38" i="159"/>
  <c r="BK38" i="159"/>
  <c r="BG38" i="159"/>
  <c r="BC38" i="159"/>
  <c r="AY38" i="159"/>
  <c r="AU38" i="159"/>
  <c r="AQ38" i="159"/>
  <c r="AM38" i="159"/>
  <c r="AI38" i="159"/>
  <c r="AE38" i="159"/>
  <c r="AA38" i="159"/>
  <c r="W38" i="159"/>
  <c r="S38" i="159"/>
  <c r="O38" i="159"/>
  <c r="J38" i="159"/>
  <c r="BW37" i="159"/>
  <c r="BS37" i="159"/>
  <c r="BO37" i="159"/>
  <c r="BK37" i="159"/>
  <c r="BG37" i="159"/>
  <c r="BC37" i="159"/>
  <c r="AY37" i="159"/>
  <c r="AU37" i="159"/>
  <c r="AQ37" i="159"/>
  <c r="AM37" i="159"/>
  <c r="AI37" i="159"/>
  <c r="AE37" i="159"/>
  <c r="AA37" i="159"/>
  <c r="W37" i="159"/>
  <c r="S37" i="159"/>
  <c r="O37" i="159"/>
  <c r="J37" i="159"/>
  <c r="BW36" i="159"/>
  <c r="BS36" i="159"/>
  <c r="BO36" i="159"/>
  <c r="BK36" i="159"/>
  <c r="BG36" i="159"/>
  <c r="BC36" i="159"/>
  <c r="AY36" i="159"/>
  <c r="AU36" i="159"/>
  <c r="AQ36" i="159"/>
  <c r="AM36" i="159"/>
  <c r="AI36" i="159"/>
  <c r="AE36" i="159"/>
  <c r="AA36" i="159"/>
  <c r="W36" i="159"/>
  <c r="S36" i="159"/>
  <c r="O36" i="159"/>
  <c r="J36" i="159"/>
  <c r="BW35" i="159"/>
  <c r="BS35" i="159"/>
  <c r="BO35" i="159"/>
  <c r="BK35" i="159"/>
  <c r="BG35" i="159"/>
  <c r="BC35" i="159"/>
  <c r="AY35" i="159"/>
  <c r="AU35" i="159"/>
  <c r="AQ35" i="159"/>
  <c r="AM35" i="159"/>
  <c r="AI35" i="159"/>
  <c r="AE35" i="159"/>
  <c r="AA35" i="159"/>
  <c r="W35" i="159"/>
  <c r="S35" i="159"/>
  <c r="O35" i="159"/>
  <c r="J35" i="159"/>
  <c r="BW34" i="159"/>
  <c r="BS34" i="159"/>
  <c r="BO34" i="159"/>
  <c r="BK34" i="159"/>
  <c r="BG34" i="159"/>
  <c r="BC34" i="159"/>
  <c r="AY34" i="159"/>
  <c r="AU34" i="159"/>
  <c r="AQ34" i="159"/>
  <c r="AM34" i="159"/>
  <c r="AI34" i="159"/>
  <c r="AE34" i="159"/>
  <c r="AA34" i="159"/>
  <c r="W34" i="159"/>
  <c r="S34" i="159"/>
  <c r="O34" i="159"/>
  <c r="J34" i="159"/>
  <c r="BW33" i="159"/>
  <c r="BS33" i="159"/>
  <c r="BO33" i="159"/>
  <c r="BK33" i="159"/>
  <c r="BG33" i="159"/>
  <c r="BC33" i="159"/>
  <c r="AY33" i="159"/>
  <c r="AU33" i="159"/>
  <c r="AQ33" i="159"/>
  <c r="AM33" i="159"/>
  <c r="AI33" i="159"/>
  <c r="AE33" i="159"/>
  <c r="AA33" i="159"/>
  <c r="W33" i="159"/>
  <c r="S33" i="159"/>
  <c r="O33" i="159"/>
  <c r="J33" i="159"/>
  <c r="BW32" i="159"/>
  <c r="BS32" i="159"/>
  <c r="BO32" i="159"/>
  <c r="BK32" i="159"/>
  <c r="BG32" i="159"/>
  <c r="BC32" i="159"/>
  <c r="AY32" i="159"/>
  <c r="AU32" i="159"/>
  <c r="AQ32" i="159"/>
  <c r="AM32" i="159"/>
  <c r="AI32" i="159"/>
  <c r="AE32" i="159"/>
  <c r="AA32" i="159"/>
  <c r="W32" i="159"/>
  <c r="S32" i="159"/>
  <c r="O32" i="159"/>
  <c r="J32" i="159"/>
  <c r="BW31" i="159"/>
  <c r="BS31" i="159"/>
  <c r="BO31" i="159"/>
  <c r="BK31" i="159"/>
  <c r="BG31" i="159"/>
  <c r="BC31" i="159"/>
  <c r="AY31" i="159"/>
  <c r="AU31" i="159"/>
  <c r="AQ31" i="159"/>
  <c r="AM31" i="159"/>
  <c r="AI31" i="159"/>
  <c r="AE31" i="159"/>
  <c r="AA31" i="159"/>
  <c r="W31" i="159"/>
  <c r="S31" i="159"/>
  <c r="O31" i="159"/>
  <c r="J31" i="159"/>
  <c r="BW30" i="159"/>
  <c r="BS30" i="159"/>
  <c r="BO30" i="159"/>
  <c r="BK30" i="159"/>
  <c r="BG30" i="159"/>
  <c r="BC30" i="159"/>
  <c r="AY30" i="159"/>
  <c r="AU30" i="159"/>
  <c r="AQ30" i="159"/>
  <c r="AM30" i="159"/>
  <c r="AI30" i="159"/>
  <c r="AE30" i="159"/>
  <c r="AA30" i="159"/>
  <c r="W30" i="159"/>
  <c r="S30" i="159"/>
  <c r="O30" i="159"/>
  <c r="J30" i="159"/>
  <c r="BW29" i="159"/>
  <c r="BS29" i="159"/>
  <c r="BO29" i="159"/>
  <c r="BK29" i="159"/>
  <c r="BG29" i="159"/>
  <c r="BC29" i="159"/>
  <c r="AY29" i="159"/>
  <c r="AU29" i="159"/>
  <c r="AQ29" i="159"/>
  <c r="AM29" i="159"/>
  <c r="AI29" i="159"/>
  <c r="AE29" i="159"/>
  <c r="AA29" i="159"/>
  <c r="W29" i="159"/>
  <c r="S29" i="159"/>
  <c r="O29" i="159"/>
  <c r="J29" i="159"/>
  <c r="BW28" i="159"/>
  <c r="BS28" i="159"/>
  <c r="BO28" i="159"/>
  <c r="BK28" i="159"/>
  <c r="BG28" i="159"/>
  <c r="BC28" i="159"/>
  <c r="AY28" i="159"/>
  <c r="AU28" i="159"/>
  <c r="AQ28" i="159"/>
  <c r="AM28" i="159"/>
  <c r="AI28" i="159"/>
  <c r="AE28" i="159"/>
  <c r="AA28" i="159"/>
  <c r="W28" i="159"/>
  <c r="S28" i="159"/>
  <c r="O28" i="159"/>
  <c r="J28" i="159"/>
  <c r="BW27" i="159"/>
  <c r="BS27" i="159"/>
  <c r="BO27" i="159"/>
  <c r="BK27" i="159"/>
  <c r="BG27" i="159"/>
  <c r="BC27" i="159"/>
  <c r="AY27" i="159"/>
  <c r="AU27" i="159"/>
  <c r="AQ27" i="159"/>
  <c r="AM27" i="159"/>
  <c r="AI27" i="159"/>
  <c r="AE27" i="159"/>
  <c r="AA27" i="159"/>
  <c r="W27" i="159"/>
  <c r="S27" i="159"/>
  <c r="O27" i="159"/>
  <c r="J27" i="159"/>
  <c r="BW26" i="159"/>
  <c r="BS26" i="159"/>
  <c r="BO26" i="159"/>
  <c r="BK26" i="159"/>
  <c r="BG26" i="159"/>
  <c r="BC26" i="159"/>
  <c r="AY26" i="159"/>
  <c r="AU26" i="159"/>
  <c r="AQ26" i="159"/>
  <c r="AM26" i="159"/>
  <c r="AI26" i="159"/>
  <c r="AE26" i="159"/>
  <c r="AA26" i="159"/>
  <c r="W26" i="159"/>
  <c r="S26" i="159"/>
  <c r="O26" i="159"/>
  <c r="J26" i="159"/>
  <c r="BW25" i="159"/>
  <c r="BS25" i="159"/>
  <c r="BO25" i="159"/>
  <c r="BK25" i="159"/>
  <c r="BG25" i="159"/>
  <c r="BC25" i="159"/>
  <c r="AY25" i="159"/>
  <c r="AU25" i="159"/>
  <c r="AQ25" i="159"/>
  <c r="AM25" i="159"/>
  <c r="AI25" i="159"/>
  <c r="AE25" i="159"/>
  <c r="AA25" i="159"/>
  <c r="W25" i="159"/>
  <c r="S25" i="159"/>
  <c r="O25" i="159"/>
  <c r="J25" i="159"/>
  <c r="BW24" i="159"/>
  <c r="BS24" i="159"/>
  <c r="BO24" i="159"/>
  <c r="BK24" i="159"/>
  <c r="BG24" i="159"/>
  <c r="BC24" i="159"/>
  <c r="AY24" i="159"/>
  <c r="AU24" i="159"/>
  <c r="AQ24" i="159"/>
  <c r="AM24" i="159"/>
  <c r="AI24" i="159"/>
  <c r="AE24" i="159"/>
  <c r="AA24" i="159"/>
  <c r="W24" i="159"/>
  <c r="S24" i="159"/>
  <c r="O24" i="159"/>
  <c r="J24" i="159"/>
  <c r="BW23" i="159"/>
  <c r="BS23" i="159"/>
  <c r="BO23" i="159"/>
  <c r="BK23" i="159"/>
  <c r="BG23" i="159"/>
  <c r="BC23" i="159"/>
  <c r="AY23" i="159"/>
  <c r="AU23" i="159"/>
  <c r="AQ23" i="159"/>
  <c r="AM23" i="159"/>
  <c r="AI23" i="159"/>
  <c r="AE23" i="159"/>
  <c r="AA23" i="159"/>
  <c r="W23" i="159"/>
  <c r="S23" i="159"/>
  <c r="O23" i="159"/>
  <c r="J23" i="159"/>
  <c r="BW22" i="159"/>
  <c r="BS22" i="159"/>
  <c r="BO22" i="159"/>
  <c r="BK22" i="159"/>
  <c r="BG22" i="159"/>
  <c r="BC22" i="159"/>
  <c r="AY22" i="159"/>
  <c r="AU22" i="159"/>
  <c r="AQ22" i="159"/>
  <c r="AM22" i="159"/>
  <c r="AI22" i="159"/>
  <c r="AE22" i="159"/>
  <c r="AA22" i="159"/>
  <c r="W22" i="159"/>
  <c r="S22" i="159"/>
  <c r="O22" i="159"/>
  <c r="J22" i="159"/>
  <c r="BW21" i="159"/>
  <c r="BS21" i="159"/>
  <c r="BO21" i="159"/>
  <c r="BK21" i="159"/>
  <c r="BG21" i="159"/>
  <c r="BC21" i="159"/>
  <c r="AY21" i="159"/>
  <c r="AU21" i="159"/>
  <c r="AQ21" i="159"/>
  <c r="AM21" i="159"/>
  <c r="AI21" i="159"/>
  <c r="AE21" i="159"/>
  <c r="AA21" i="159"/>
  <c r="W21" i="159"/>
  <c r="S21" i="159"/>
  <c r="O21" i="159"/>
  <c r="J21" i="159"/>
  <c r="BW20" i="159"/>
  <c r="BS20" i="159"/>
  <c r="BO20" i="159"/>
  <c r="BK20" i="159"/>
  <c r="BG20" i="159"/>
  <c r="BC20" i="159"/>
  <c r="AY20" i="159"/>
  <c r="AU20" i="159"/>
  <c r="AQ20" i="159"/>
  <c r="AM20" i="159"/>
  <c r="AI20" i="159"/>
  <c r="AE20" i="159"/>
  <c r="AA20" i="159"/>
  <c r="W20" i="159"/>
  <c r="S20" i="159"/>
  <c r="O20" i="159"/>
  <c r="J20" i="159"/>
  <c r="BW19" i="159"/>
  <c r="BS19" i="159"/>
  <c r="BO19" i="159"/>
  <c r="BK19" i="159"/>
  <c r="BG19" i="159"/>
  <c r="BC19" i="159"/>
  <c r="AY19" i="159"/>
  <c r="AU19" i="159"/>
  <c r="AQ19" i="159"/>
  <c r="AM19" i="159"/>
  <c r="AI19" i="159"/>
  <c r="AE19" i="159"/>
  <c r="AA19" i="159"/>
  <c r="W19" i="159"/>
  <c r="S19" i="159"/>
  <c r="O19" i="159"/>
  <c r="J19" i="159"/>
  <c r="BW18" i="159"/>
  <c r="BS18" i="159"/>
  <c r="BO18" i="159"/>
  <c r="BK18" i="159"/>
  <c r="BG18" i="159"/>
  <c r="BC18" i="159"/>
  <c r="AY18" i="159"/>
  <c r="AU18" i="159"/>
  <c r="AQ18" i="159"/>
  <c r="AM18" i="159"/>
  <c r="AI18" i="159"/>
  <c r="AE18" i="159"/>
  <c r="AA18" i="159"/>
  <c r="W18" i="159"/>
  <c r="S18" i="159"/>
  <c r="O18" i="159"/>
  <c r="J18" i="159"/>
  <c r="BW17" i="159"/>
  <c r="BS17" i="159"/>
  <c r="BO17" i="159"/>
  <c r="BK17" i="159"/>
  <c r="BG17" i="159"/>
  <c r="BC17" i="159"/>
  <c r="AY17" i="159"/>
  <c r="AU17" i="159"/>
  <c r="AQ17" i="159"/>
  <c r="AM17" i="159"/>
  <c r="AI17" i="159"/>
  <c r="AE17" i="159"/>
  <c r="AA17" i="159"/>
  <c r="W17" i="159"/>
  <c r="S17" i="159"/>
  <c r="O17" i="159"/>
  <c r="J17" i="159"/>
  <c r="BW16" i="159"/>
  <c r="BS16" i="159"/>
  <c r="BO16" i="159"/>
  <c r="BK16" i="159"/>
  <c r="BG16" i="159"/>
  <c r="BC16" i="159"/>
  <c r="AY16" i="159"/>
  <c r="AU16" i="159"/>
  <c r="AQ16" i="159"/>
  <c r="AM16" i="159"/>
  <c r="AI16" i="159"/>
  <c r="AE16" i="159"/>
  <c r="AA16" i="159"/>
  <c r="W16" i="159"/>
  <c r="S16" i="159"/>
  <c r="O16" i="159"/>
  <c r="J16" i="159"/>
  <c r="BW15" i="159"/>
  <c r="BS15" i="159"/>
  <c r="BO15" i="159"/>
  <c r="BK15" i="159"/>
  <c r="BG15" i="159"/>
  <c r="BC15" i="159"/>
  <c r="AY15" i="159"/>
  <c r="AU15" i="159"/>
  <c r="AQ15" i="159"/>
  <c r="AM15" i="159"/>
  <c r="AI15" i="159"/>
  <c r="AE15" i="159"/>
  <c r="AA15" i="159"/>
  <c r="W15" i="159"/>
  <c r="S15" i="159"/>
  <c r="O15" i="159"/>
  <c r="J15" i="159"/>
  <c r="BW14" i="159"/>
  <c r="BS14" i="159"/>
  <c r="BO14" i="159"/>
  <c r="BK14" i="159"/>
  <c r="BG14" i="159"/>
  <c r="BC14" i="159"/>
  <c r="AY14" i="159"/>
  <c r="AU14" i="159"/>
  <c r="AQ14" i="159"/>
  <c r="AM14" i="159"/>
  <c r="AI14" i="159"/>
  <c r="AE14" i="159"/>
  <c r="AA14" i="159"/>
  <c r="W14" i="159"/>
  <c r="S14" i="159"/>
  <c r="O14" i="159"/>
  <c r="J14" i="159"/>
  <c r="BW13" i="159"/>
  <c r="BS13" i="159"/>
  <c r="BO13" i="159"/>
  <c r="BK13" i="159"/>
  <c r="BG13" i="159"/>
  <c r="BC13" i="159"/>
  <c r="AY13" i="159"/>
  <c r="AU13" i="159"/>
  <c r="AQ13" i="159"/>
  <c r="AM13" i="159"/>
  <c r="AI13" i="159"/>
  <c r="AE13" i="159"/>
  <c r="AA13" i="159"/>
  <c r="W13" i="159"/>
  <c r="S13" i="159"/>
  <c r="O13" i="159"/>
  <c r="J13" i="159"/>
  <c r="BW12" i="159"/>
  <c r="BS12" i="159"/>
  <c r="BO12" i="159"/>
  <c r="BK12" i="159"/>
  <c r="BG12" i="159"/>
  <c r="BC12" i="159"/>
  <c r="AY12" i="159"/>
  <c r="AU12" i="159"/>
  <c r="AQ12" i="159"/>
  <c r="AM12" i="159"/>
  <c r="AI12" i="159"/>
  <c r="AE12" i="159"/>
  <c r="AA12" i="159"/>
  <c r="W12" i="159"/>
  <c r="S12" i="159"/>
  <c r="O12" i="159"/>
  <c r="J12" i="159"/>
  <c r="BW11" i="159"/>
  <c r="BS11" i="159"/>
  <c r="BO11" i="159"/>
  <c r="BK11" i="159"/>
  <c r="BG11" i="159"/>
  <c r="BC11" i="159"/>
  <c r="AY11" i="159"/>
  <c r="AU11" i="159"/>
  <c r="AQ11" i="159"/>
  <c r="AM11" i="159"/>
  <c r="AI11" i="159"/>
  <c r="AE11" i="159"/>
  <c r="AA11" i="159"/>
  <c r="W11" i="159"/>
  <c r="S11" i="159"/>
  <c r="O11" i="159"/>
  <c r="J11" i="159"/>
  <c r="BW10" i="159"/>
  <c r="BS10" i="159"/>
  <c r="BO10" i="159"/>
  <c r="BK10" i="159"/>
  <c r="BG10" i="159"/>
  <c r="BC10" i="159"/>
  <c r="AY10" i="159"/>
  <c r="AU10" i="159"/>
  <c r="AQ10" i="159"/>
  <c r="AM10" i="159"/>
  <c r="AI10" i="159"/>
  <c r="AE10" i="159"/>
  <c r="AA10" i="159"/>
  <c r="W10" i="159"/>
  <c r="S10" i="159"/>
  <c r="O10" i="159"/>
  <c r="J10" i="159"/>
  <c r="BW9" i="159"/>
  <c r="BS9" i="159"/>
  <c r="BO9" i="159"/>
  <c r="BK9" i="159"/>
  <c r="BG9" i="159"/>
  <c r="BC9" i="159"/>
  <c r="AY9" i="159"/>
  <c r="AU9" i="159"/>
  <c r="AQ9" i="159"/>
  <c r="AM9" i="159"/>
  <c r="AI9" i="159"/>
  <c r="AE9" i="159"/>
  <c r="AA9" i="159"/>
  <c r="W9" i="159"/>
  <c r="S9" i="159"/>
  <c r="O9" i="159"/>
  <c r="J9" i="159"/>
  <c r="BW8" i="159"/>
  <c r="BS8" i="159"/>
  <c r="BO8" i="159"/>
  <c r="BK8" i="159"/>
  <c r="BG8" i="159"/>
  <c r="BC8" i="159"/>
  <c r="AY8" i="159"/>
  <c r="AU8" i="159"/>
  <c r="AQ8" i="159"/>
  <c r="AM8" i="159"/>
  <c r="AI8" i="159"/>
  <c r="AE8" i="159"/>
  <c r="AA8" i="159"/>
  <c r="W8" i="159"/>
  <c r="S8" i="159"/>
  <c r="O8" i="159"/>
  <c r="J8" i="159"/>
  <c r="BW7" i="159"/>
  <c r="BS7" i="159"/>
  <c r="BO7" i="159"/>
  <c r="BK7" i="159"/>
  <c r="BG7" i="159"/>
  <c r="BC7" i="159"/>
  <c r="AY7" i="159"/>
  <c r="AU7" i="159"/>
  <c r="AQ7" i="159"/>
  <c r="AM7" i="159"/>
  <c r="AI7" i="159"/>
  <c r="AE7" i="159"/>
  <c r="AA7" i="159"/>
  <c r="W7" i="159"/>
  <c r="S7" i="159"/>
  <c r="O7" i="159"/>
  <c r="J7" i="159"/>
  <c r="BT6" i="159"/>
  <c r="BN6" i="159"/>
  <c r="BO6" i="159" s="1"/>
  <c r="BH6" i="159"/>
  <c r="BB6" i="159"/>
  <c r="BC6" i="159" s="1"/>
  <c r="AV6" i="159"/>
  <c r="AP6" i="159"/>
  <c r="AQ6" i="159" s="1"/>
  <c r="AJ6" i="159"/>
  <c r="AD6" i="159"/>
  <c r="AE6" i="159" s="1"/>
  <c r="X6" i="159"/>
  <c r="R6" i="159"/>
  <c r="S6" i="159" s="1"/>
  <c r="L6" i="159"/>
  <c r="BL5" i="159"/>
  <c r="BO5" i="159" s="1"/>
  <c r="AZ5" i="159"/>
  <c r="BC5" i="159" s="1"/>
  <c r="AN5" i="159"/>
  <c r="AQ5" i="159" s="1"/>
  <c r="AB5" i="159"/>
  <c r="AE5" i="159" s="1"/>
  <c r="P5" i="159"/>
  <c r="S5" i="159" s="1"/>
  <c r="BS4" i="159"/>
  <c r="BT5" i="159" s="1"/>
  <c r="BW5" i="159" s="1"/>
  <c r="BO4" i="159"/>
  <c r="BP6" i="159" s="1"/>
  <c r="BK4" i="159"/>
  <c r="BL4" i="159" s="1"/>
  <c r="BG4" i="159"/>
  <c r="BH4" i="159" s="1"/>
  <c r="BC4" i="159"/>
  <c r="BD6" i="159" s="1"/>
  <c r="AY4" i="159"/>
  <c r="BA6" i="159" s="1"/>
  <c r="AU4" i="159"/>
  <c r="AV5" i="159" s="1"/>
  <c r="AY5" i="159" s="1"/>
  <c r="AQ4" i="159"/>
  <c r="AR5" i="159" s="1"/>
  <c r="AU5" i="159" s="1"/>
  <c r="AM4" i="159"/>
  <c r="AN4" i="159" s="1"/>
  <c r="AI4" i="159"/>
  <c r="AJ4" i="159" s="1"/>
  <c r="AE4" i="159"/>
  <c r="AF6" i="159" s="1"/>
  <c r="AA4" i="159"/>
  <c r="AC6" i="159" s="1"/>
  <c r="W4" i="159"/>
  <c r="X5" i="159" s="1"/>
  <c r="AA5" i="159" s="1"/>
  <c r="S4" i="159"/>
  <c r="T6" i="159" s="1"/>
  <c r="O4" i="159"/>
  <c r="P4" i="159" s="1"/>
  <c r="K4" i="159"/>
  <c r="L4" i="159" s="1"/>
  <c r="J4" i="159"/>
  <c r="BT3" i="159"/>
  <c r="BP3" i="159"/>
  <c r="BL3" i="159"/>
  <c r="BH3" i="159"/>
  <c r="BD3" i="159"/>
  <c r="AZ3" i="159"/>
  <c r="AV3" i="159"/>
  <c r="AR3" i="159"/>
  <c r="AN3" i="159"/>
  <c r="AJ3" i="159"/>
  <c r="AF3" i="159"/>
  <c r="AB3" i="159"/>
  <c r="X3" i="159"/>
  <c r="T3" i="159"/>
  <c r="P3" i="159"/>
  <c r="L3" i="159"/>
  <c r="J3" i="159"/>
  <c r="J2" i="159"/>
  <c r="F1" i="159"/>
  <c r="BW82" i="158"/>
  <c r="BS82" i="158"/>
  <c r="BO82" i="158"/>
  <c r="BK82" i="158"/>
  <c r="BG82" i="158"/>
  <c r="BC82" i="158"/>
  <c r="AY82" i="158"/>
  <c r="AU82" i="158"/>
  <c r="AQ82" i="158"/>
  <c r="AM82" i="158"/>
  <c r="AI82" i="158"/>
  <c r="AE82" i="158"/>
  <c r="AA82" i="158"/>
  <c r="W82" i="158"/>
  <c r="S82" i="158"/>
  <c r="O82" i="158"/>
  <c r="J82" i="158"/>
  <c r="BW81" i="158"/>
  <c r="BS81" i="158"/>
  <c r="BO81" i="158"/>
  <c r="BK81" i="158"/>
  <c r="BG81" i="158"/>
  <c r="BC81" i="158"/>
  <c r="AY81" i="158"/>
  <c r="AU81" i="158"/>
  <c r="AQ81" i="158"/>
  <c r="AM81" i="158"/>
  <c r="AI81" i="158"/>
  <c r="AE81" i="158"/>
  <c r="AA81" i="158"/>
  <c r="W81" i="158"/>
  <c r="S81" i="158"/>
  <c r="O81" i="158"/>
  <c r="J81" i="158"/>
  <c r="BW80" i="158"/>
  <c r="BS80" i="158"/>
  <c r="BO80" i="158"/>
  <c r="BK80" i="158"/>
  <c r="BG80" i="158"/>
  <c r="BC80" i="158"/>
  <c r="AY80" i="158"/>
  <c r="AU80" i="158"/>
  <c r="AQ80" i="158"/>
  <c r="AM80" i="158"/>
  <c r="AI80" i="158"/>
  <c r="AE80" i="158"/>
  <c r="AA80" i="158"/>
  <c r="W80" i="158"/>
  <c r="S80" i="158"/>
  <c r="O80" i="158"/>
  <c r="J80" i="158"/>
  <c r="BW79" i="158"/>
  <c r="BS79" i="158"/>
  <c r="BO79" i="158"/>
  <c r="BK79" i="158"/>
  <c r="BG79" i="158"/>
  <c r="BC79" i="158"/>
  <c r="AY79" i="158"/>
  <c r="AU79" i="158"/>
  <c r="AQ79" i="158"/>
  <c r="AM79" i="158"/>
  <c r="AI79" i="158"/>
  <c r="AE79" i="158"/>
  <c r="AA79" i="158"/>
  <c r="W79" i="158"/>
  <c r="S79" i="158"/>
  <c r="O79" i="158"/>
  <c r="J79" i="158"/>
  <c r="BW78" i="158"/>
  <c r="BS78" i="158"/>
  <c r="BO78" i="158"/>
  <c r="BK78" i="158"/>
  <c r="BG78" i="158"/>
  <c r="BC78" i="158"/>
  <c r="AY78" i="158"/>
  <c r="AU78" i="158"/>
  <c r="AQ78" i="158"/>
  <c r="AM78" i="158"/>
  <c r="AI78" i="158"/>
  <c r="AE78" i="158"/>
  <c r="AA78" i="158"/>
  <c r="W78" i="158"/>
  <c r="S78" i="158"/>
  <c r="O78" i="158"/>
  <c r="J78" i="158"/>
  <c r="BW77" i="158"/>
  <c r="BS77" i="158"/>
  <c r="BO77" i="158"/>
  <c r="BK77" i="158"/>
  <c r="BG77" i="158"/>
  <c r="BC77" i="158"/>
  <c r="AY77" i="158"/>
  <c r="AU77" i="158"/>
  <c r="AQ77" i="158"/>
  <c r="AM77" i="158"/>
  <c r="AI77" i="158"/>
  <c r="AE77" i="158"/>
  <c r="AA77" i="158"/>
  <c r="W77" i="158"/>
  <c r="S77" i="158"/>
  <c r="O77" i="158"/>
  <c r="J77" i="158"/>
  <c r="BW76" i="158"/>
  <c r="BS76" i="158"/>
  <c r="BO76" i="158"/>
  <c r="BK76" i="158"/>
  <c r="BG76" i="158"/>
  <c r="BC76" i="158"/>
  <c r="AY76" i="158"/>
  <c r="AU76" i="158"/>
  <c r="AQ76" i="158"/>
  <c r="AM76" i="158"/>
  <c r="AI76" i="158"/>
  <c r="AE76" i="158"/>
  <c r="AA76" i="158"/>
  <c r="W76" i="158"/>
  <c r="S76" i="158"/>
  <c r="O76" i="158"/>
  <c r="J76" i="158"/>
  <c r="BW75" i="158"/>
  <c r="BS75" i="158"/>
  <c r="BO75" i="158"/>
  <c r="BK75" i="158"/>
  <c r="BG75" i="158"/>
  <c r="BC75" i="158"/>
  <c r="AY75" i="158"/>
  <c r="AU75" i="158"/>
  <c r="AQ75" i="158"/>
  <c r="AM75" i="158"/>
  <c r="AI75" i="158"/>
  <c r="AE75" i="158"/>
  <c r="AA75" i="158"/>
  <c r="W75" i="158"/>
  <c r="S75" i="158"/>
  <c r="O75" i="158"/>
  <c r="J75" i="158"/>
  <c r="BW74" i="158"/>
  <c r="BS74" i="158"/>
  <c r="BO74" i="158"/>
  <c r="BK74" i="158"/>
  <c r="BG74" i="158"/>
  <c r="BC74" i="158"/>
  <c r="AY74" i="158"/>
  <c r="AU74" i="158"/>
  <c r="AQ74" i="158"/>
  <c r="AM74" i="158"/>
  <c r="AI74" i="158"/>
  <c r="AE74" i="158"/>
  <c r="AA74" i="158"/>
  <c r="W74" i="158"/>
  <c r="S74" i="158"/>
  <c r="O74" i="158"/>
  <c r="J74" i="158"/>
  <c r="BW73" i="158"/>
  <c r="BS73" i="158"/>
  <c r="BO73" i="158"/>
  <c r="BK73" i="158"/>
  <c r="BG73" i="158"/>
  <c r="BC73" i="158"/>
  <c r="AY73" i="158"/>
  <c r="AU73" i="158"/>
  <c r="AQ73" i="158"/>
  <c r="AM73" i="158"/>
  <c r="AI73" i="158"/>
  <c r="AE73" i="158"/>
  <c r="AA73" i="158"/>
  <c r="W73" i="158"/>
  <c r="S73" i="158"/>
  <c r="O73" i="158"/>
  <c r="J73" i="158"/>
  <c r="BW72" i="158"/>
  <c r="BS72" i="158"/>
  <c r="BO72" i="158"/>
  <c r="BK72" i="158"/>
  <c r="BG72" i="158"/>
  <c r="BC72" i="158"/>
  <c r="AY72" i="158"/>
  <c r="AU72" i="158"/>
  <c r="AQ72" i="158"/>
  <c r="AM72" i="158"/>
  <c r="AI72" i="158"/>
  <c r="AE72" i="158"/>
  <c r="AA72" i="158"/>
  <c r="W72" i="158"/>
  <c r="S72" i="158"/>
  <c r="O72" i="158"/>
  <c r="J72" i="158"/>
  <c r="BW71" i="158"/>
  <c r="BS71" i="158"/>
  <c r="BO71" i="158"/>
  <c r="BK71" i="158"/>
  <c r="BG71" i="158"/>
  <c r="BC71" i="158"/>
  <c r="AY71" i="158"/>
  <c r="AU71" i="158"/>
  <c r="AQ71" i="158"/>
  <c r="AM71" i="158"/>
  <c r="AI71" i="158"/>
  <c r="AE71" i="158"/>
  <c r="AA71" i="158"/>
  <c r="W71" i="158"/>
  <c r="S71" i="158"/>
  <c r="O71" i="158"/>
  <c r="J71" i="158"/>
  <c r="BW70" i="158"/>
  <c r="BS70" i="158"/>
  <c r="BO70" i="158"/>
  <c r="BK70" i="158"/>
  <c r="BG70" i="158"/>
  <c r="BC70" i="158"/>
  <c r="AY70" i="158"/>
  <c r="AU70" i="158"/>
  <c r="AQ70" i="158"/>
  <c r="AM70" i="158"/>
  <c r="AI70" i="158"/>
  <c r="AE70" i="158"/>
  <c r="AA70" i="158"/>
  <c r="W70" i="158"/>
  <c r="S70" i="158"/>
  <c r="O70" i="158"/>
  <c r="J70" i="158"/>
  <c r="BW69" i="158"/>
  <c r="BS69" i="158"/>
  <c r="BO69" i="158"/>
  <c r="BK69" i="158"/>
  <c r="BG69" i="158"/>
  <c r="BC69" i="158"/>
  <c r="AY69" i="158"/>
  <c r="AU69" i="158"/>
  <c r="AQ69" i="158"/>
  <c r="AM69" i="158"/>
  <c r="AI69" i="158"/>
  <c r="AE69" i="158"/>
  <c r="AA69" i="158"/>
  <c r="W69" i="158"/>
  <c r="S69" i="158"/>
  <c r="O69" i="158"/>
  <c r="J69" i="158"/>
  <c r="BW68" i="158"/>
  <c r="BS68" i="158"/>
  <c r="BO68" i="158"/>
  <c r="BK68" i="158"/>
  <c r="BG68" i="158"/>
  <c r="BC68" i="158"/>
  <c r="AY68" i="158"/>
  <c r="AU68" i="158"/>
  <c r="AQ68" i="158"/>
  <c r="AM68" i="158"/>
  <c r="AI68" i="158"/>
  <c r="AE68" i="158"/>
  <c r="AA68" i="158"/>
  <c r="W68" i="158"/>
  <c r="S68" i="158"/>
  <c r="O68" i="158"/>
  <c r="J68" i="158"/>
  <c r="BW67" i="158"/>
  <c r="BS67" i="158"/>
  <c r="BO67" i="158"/>
  <c r="BK67" i="158"/>
  <c r="BG67" i="158"/>
  <c r="BC67" i="158"/>
  <c r="AY67" i="158"/>
  <c r="AU67" i="158"/>
  <c r="AQ67" i="158"/>
  <c r="AM67" i="158"/>
  <c r="AI67" i="158"/>
  <c r="AE67" i="158"/>
  <c r="AA67" i="158"/>
  <c r="W67" i="158"/>
  <c r="S67" i="158"/>
  <c r="O67" i="158"/>
  <c r="J67" i="158"/>
  <c r="BW66" i="158"/>
  <c r="BS66" i="158"/>
  <c r="BO66" i="158"/>
  <c r="BK66" i="158"/>
  <c r="BG66" i="158"/>
  <c r="BC66" i="158"/>
  <c r="AY66" i="158"/>
  <c r="AU66" i="158"/>
  <c r="AQ66" i="158"/>
  <c r="AM66" i="158"/>
  <c r="AI66" i="158"/>
  <c r="AE66" i="158"/>
  <c r="AA66" i="158"/>
  <c r="W66" i="158"/>
  <c r="S66" i="158"/>
  <c r="O66" i="158"/>
  <c r="J66" i="158"/>
  <c r="BW65" i="158"/>
  <c r="BS65" i="158"/>
  <c r="BO65" i="158"/>
  <c r="BK65" i="158"/>
  <c r="BG65" i="158"/>
  <c r="BC65" i="158"/>
  <c r="AY65" i="158"/>
  <c r="AU65" i="158"/>
  <c r="AQ65" i="158"/>
  <c r="AM65" i="158"/>
  <c r="AI65" i="158"/>
  <c r="AE65" i="158"/>
  <c r="AA65" i="158"/>
  <c r="W65" i="158"/>
  <c r="S65" i="158"/>
  <c r="O65" i="158"/>
  <c r="J65" i="158"/>
  <c r="BW64" i="158"/>
  <c r="BS64" i="158"/>
  <c r="BO64" i="158"/>
  <c r="BK64" i="158"/>
  <c r="BG64" i="158"/>
  <c r="BC64" i="158"/>
  <c r="AY64" i="158"/>
  <c r="AU64" i="158"/>
  <c r="AQ64" i="158"/>
  <c r="AM64" i="158"/>
  <c r="AI64" i="158"/>
  <c r="AE64" i="158"/>
  <c r="AA64" i="158"/>
  <c r="W64" i="158"/>
  <c r="S64" i="158"/>
  <c r="O64" i="158"/>
  <c r="J64" i="158"/>
  <c r="BW63" i="158"/>
  <c r="BS63" i="158"/>
  <c r="BO63" i="158"/>
  <c r="BK63" i="158"/>
  <c r="BG63" i="158"/>
  <c r="BC63" i="158"/>
  <c r="AY63" i="158"/>
  <c r="AU63" i="158"/>
  <c r="AQ63" i="158"/>
  <c r="AM63" i="158"/>
  <c r="AI63" i="158"/>
  <c r="AE63" i="158"/>
  <c r="AA63" i="158"/>
  <c r="W63" i="158"/>
  <c r="S63" i="158"/>
  <c r="O63" i="158"/>
  <c r="J63" i="158"/>
  <c r="BW62" i="158"/>
  <c r="BS62" i="158"/>
  <c r="BO62" i="158"/>
  <c r="BK62" i="158"/>
  <c r="BG62" i="158"/>
  <c r="BC62" i="158"/>
  <c r="AY62" i="158"/>
  <c r="AU62" i="158"/>
  <c r="AQ62" i="158"/>
  <c r="AM62" i="158"/>
  <c r="AI62" i="158"/>
  <c r="AE62" i="158"/>
  <c r="AA62" i="158"/>
  <c r="W62" i="158"/>
  <c r="S62" i="158"/>
  <c r="O62" i="158"/>
  <c r="J62" i="158"/>
  <c r="BW61" i="158"/>
  <c r="BS61" i="158"/>
  <c r="BO61" i="158"/>
  <c r="BK61" i="158"/>
  <c r="BG61" i="158"/>
  <c r="BC61" i="158"/>
  <c r="AY61" i="158"/>
  <c r="AU61" i="158"/>
  <c r="AQ61" i="158"/>
  <c r="AM61" i="158"/>
  <c r="AI61" i="158"/>
  <c r="AE61" i="158"/>
  <c r="AA61" i="158"/>
  <c r="W61" i="158"/>
  <c r="S61" i="158"/>
  <c r="O61" i="158"/>
  <c r="J61" i="158"/>
  <c r="BW60" i="158"/>
  <c r="BS60" i="158"/>
  <c r="BO60" i="158"/>
  <c r="BK60" i="158"/>
  <c r="BG60" i="158"/>
  <c r="BC60" i="158"/>
  <c r="AY60" i="158"/>
  <c r="AU60" i="158"/>
  <c r="AQ60" i="158"/>
  <c r="AM60" i="158"/>
  <c r="AI60" i="158"/>
  <c r="AE60" i="158"/>
  <c r="AA60" i="158"/>
  <c r="W60" i="158"/>
  <c r="S60" i="158"/>
  <c r="O60" i="158"/>
  <c r="J60" i="158"/>
  <c r="BW59" i="158"/>
  <c r="BS59" i="158"/>
  <c r="BO59" i="158"/>
  <c r="BK59" i="158"/>
  <c r="BG59" i="158"/>
  <c r="BC59" i="158"/>
  <c r="AY59" i="158"/>
  <c r="AU59" i="158"/>
  <c r="AQ59" i="158"/>
  <c r="AM59" i="158"/>
  <c r="AI59" i="158"/>
  <c r="AE59" i="158"/>
  <c r="AA59" i="158"/>
  <c r="W59" i="158"/>
  <c r="S59" i="158"/>
  <c r="O59" i="158"/>
  <c r="J59" i="158"/>
  <c r="BW58" i="158"/>
  <c r="BS58" i="158"/>
  <c r="BO58" i="158"/>
  <c r="BK58" i="158"/>
  <c r="BG58" i="158"/>
  <c r="BC58" i="158"/>
  <c r="AY58" i="158"/>
  <c r="AU58" i="158"/>
  <c r="AQ58" i="158"/>
  <c r="AM58" i="158"/>
  <c r="AI58" i="158"/>
  <c r="AE58" i="158"/>
  <c r="AA58" i="158"/>
  <c r="W58" i="158"/>
  <c r="S58" i="158"/>
  <c r="O58" i="158"/>
  <c r="J58" i="158"/>
  <c r="BW57" i="158"/>
  <c r="BS57" i="158"/>
  <c r="BO57" i="158"/>
  <c r="BK57" i="158"/>
  <c r="BG57" i="158"/>
  <c r="BC57" i="158"/>
  <c r="AY57" i="158"/>
  <c r="AU57" i="158"/>
  <c r="AQ57" i="158"/>
  <c r="AM57" i="158"/>
  <c r="AI57" i="158"/>
  <c r="AE57" i="158"/>
  <c r="AA57" i="158"/>
  <c r="W57" i="158"/>
  <c r="S57" i="158"/>
  <c r="O57" i="158"/>
  <c r="J57" i="158"/>
  <c r="BW56" i="158"/>
  <c r="BS56" i="158"/>
  <c r="BO56" i="158"/>
  <c r="BK56" i="158"/>
  <c r="BG56" i="158"/>
  <c r="BC56" i="158"/>
  <c r="AY56" i="158"/>
  <c r="AU56" i="158"/>
  <c r="AQ56" i="158"/>
  <c r="AM56" i="158"/>
  <c r="AI56" i="158"/>
  <c r="AE56" i="158"/>
  <c r="AA56" i="158"/>
  <c r="W56" i="158"/>
  <c r="S56" i="158"/>
  <c r="O56" i="158"/>
  <c r="J56" i="158"/>
  <c r="BW55" i="158"/>
  <c r="BS55" i="158"/>
  <c r="BO55" i="158"/>
  <c r="BK55" i="158"/>
  <c r="BG55" i="158"/>
  <c r="BC55" i="158"/>
  <c r="AY55" i="158"/>
  <c r="AU55" i="158"/>
  <c r="AQ55" i="158"/>
  <c r="AM55" i="158"/>
  <c r="AI55" i="158"/>
  <c r="AE55" i="158"/>
  <c r="AA55" i="158"/>
  <c r="W55" i="158"/>
  <c r="S55" i="158"/>
  <c r="O55" i="158"/>
  <c r="J55" i="158"/>
  <c r="BW54" i="158"/>
  <c r="BS54" i="158"/>
  <c r="BO54" i="158"/>
  <c r="BK54" i="158"/>
  <c r="BG54" i="158"/>
  <c r="BC54" i="158"/>
  <c r="AY54" i="158"/>
  <c r="AU54" i="158"/>
  <c r="AQ54" i="158"/>
  <c r="AM54" i="158"/>
  <c r="AI54" i="158"/>
  <c r="AE54" i="158"/>
  <c r="AA54" i="158"/>
  <c r="W54" i="158"/>
  <c r="S54" i="158"/>
  <c r="O54" i="158"/>
  <c r="J54" i="158"/>
  <c r="BW53" i="158"/>
  <c r="BS53" i="158"/>
  <c r="BO53" i="158"/>
  <c r="BK53" i="158"/>
  <c r="BG53" i="158"/>
  <c r="BC53" i="158"/>
  <c r="AY53" i="158"/>
  <c r="AU53" i="158"/>
  <c r="AQ53" i="158"/>
  <c r="AM53" i="158"/>
  <c r="AI53" i="158"/>
  <c r="AE53" i="158"/>
  <c r="AA53" i="158"/>
  <c r="W53" i="158"/>
  <c r="S53" i="158"/>
  <c r="O53" i="158"/>
  <c r="J53" i="158"/>
  <c r="BW52" i="158"/>
  <c r="BS52" i="158"/>
  <c r="BO52" i="158"/>
  <c r="BK52" i="158"/>
  <c r="BG52" i="158"/>
  <c r="BC52" i="158"/>
  <c r="AY52" i="158"/>
  <c r="AU52" i="158"/>
  <c r="AQ52" i="158"/>
  <c r="AM52" i="158"/>
  <c r="AI52" i="158"/>
  <c r="AE52" i="158"/>
  <c r="AA52" i="158"/>
  <c r="W52" i="158"/>
  <c r="S52" i="158"/>
  <c r="O52" i="158"/>
  <c r="J52" i="158"/>
  <c r="BW51" i="158"/>
  <c r="BS51" i="158"/>
  <c r="BO51" i="158"/>
  <c r="BK51" i="158"/>
  <c r="BG51" i="158"/>
  <c r="BC51" i="158"/>
  <c r="AY51" i="158"/>
  <c r="AU51" i="158"/>
  <c r="AQ51" i="158"/>
  <c r="AM51" i="158"/>
  <c r="AI51" i="158"/>
  <c r="AE51" i="158"/>
  <c r="AA51" i="158"/>
  <c r="W51" i="158"/>
  <c r="S51" i="158"/>
  <c r="O51" i="158"/>
  <c r="J51" i="158"/>
  <c r="BW50" i="158"/>
  <c r="BS50" i="158"/>
  <c r="BO50" i="158"/>
  <c r="BK50" i="158"/>
  <c r="BG50" i="158"/>
  <c r="BC50" i="158"/>
  <c r="AY50" i="158"/>
  <c r="AU50" i="158"/>
  <c r="AQ50" i="158"/>
  <c r="AM50" i="158"/>
  <c r="AI50" i="158"/>
  <c r="AE50" i="158"/>
  <c r="AA50" i="158"/>
  <c r="W50" i="158"/>
  <c r="S50" i="158"/>
  <c r="O50" i="158"/>
  <c r="J50" i="158"/>
  <c r="BW49" i="158"/>
  <c r="BS49" i="158"/>
  <c r="BO49" i="158"/>
  <c r="BK49" i="158"/>
  <c r="BG49" i="158"/>
  <c r="BC49" i="158"/>
  <c r="AY49" i="158"/>
  <c r="AU49" i="158"/>
  <c r="AQ49" i="158"/>
  <c r="AM49" i="158"/>
  <c r="AI49" i="158"/>
  <c r="AE49" i="158"/>
  <c r="AA49" i="158"/>
  <c r="W49" i="158"/>
  <c r="S49" i="158"/>
  <c r="O49" i="158"/>
  <c r="J49" i="158"/>
  <c r="BW48" i="158"/>
  <c r="BS48" i="158"/>
  <c r="BO48" i="158"/>
  <c r="BK48" i="158"/>
  <c r="BG48" i="158"/>
  <c r="BC48" i="158"/>
  <c r="AY48" i="158"/>
  <c r="AU48" i="158"/>
  <c r="AQ48" i="158"/>
  <c r="AM48" i="158"/>
  <c r="AI48" i="158"/>
  <c r="AE48" i="158"/>
  <c r="AA48" i="158"/>
  <c r="W48" i="158"/>
  <c r="S48" i="158"/>
  <c r="O48" i="158"/>
  <c r="J48" i="158"/>
  <c r="BW47" i="158"/>
  <c r="BS47" i="158"/>
  <c r="BO47" i="158"/>
  <c r="BK47" i="158"/>
  <c r="BG47" i="158"/>
  <c r="BC47" i="158"/>
  <c r="AY47" i="158"/>
  <c r="AU47" i="158"/>
  <c r="AQ47" i="158"/>
  <c r="AM47" i="158"/>
  <c r="AI47" i="158"/>
  <c r="AE47" i="158"/>
  <c r="AA47" i="158"/>
  <c r="W47" i="158"/>
  <c r="S47" i="158"/>
  <c r="O47" i="158"/>
  <c r="J47" i="158"/>
  <c r="BW46" i="158"/>
  <c r="BS46" i="158"/>
  <c r="BO46" i="158"/>
  <c r="BK46" i="158"/>
  <c r="BG46" i="158"/>
  <c r="BC46" i="158"/>
  <c r="AY46" i="158"/>
  <c r="AU46" i="158"/>
  <c r="AQ46" i="158"/>
  <c r="AM46" i="158"/>
  <c r="AI46" i="158"/>
  <c r="AE46" i="158"/>
  <c r="AA46" i="158"/>
  <c r="W46" i="158"/>
  <c r="S46" i="158"/>
  <c r="O46" i="158"/>
  <c r="J46" i="158"/>
  <c r="BW45" i="158"/>
  <c r="BS45" i="158"/>
  <c r="BO45" i="158"/>
  <c r="BK45" i="158"/>
  <c r="BG45" i="158"/>
  <c r="BC45" i="158"/>
  <c r="AY45" i="158"/>
  <c r="AU45" i="158"/>
  <c r="AQ45" i="158"/>
  <c r="AM45" i="158"/>
  <c r="AI45" i="158"/>
  <c r="AE45" i="158"/>
  <c r="AA45" i="158"/>
  <c r="W45" i="158"/>
  <c r="S45" i="158"/>
  <c r="O45" i="158"/>
  <c r="J45" i="158"/>
  <c r="BW44" i="158"/>
  <c r="BS44" i="158"/>
  <c r="BO44" i="158"/>
  <c r="BK44" i="158"/>
  <c r="BG44" i="158"/>
  <c r="BC44" i="158"/>
  <c r="AY44" i="158"/>
  <c r="AU44" i="158"/>
  <c r="AQ44" i="158"/>
  <c r="AM44" i="158"/>
  <c r="AI44" i="158"/>
  <c r="AE44" i="158"/>
  <c r="AA44" i="158"/>
  <c r="W44" i="158"/>
  <c r="S44" i="158"/>
  <c r="O44" i="158"/>
  <c r="J44" i="158"/>
  <c r="BW43" i="158"/>
  <c r="BS43" i="158"/>
  <c r="BO43" i="158"/>
  <c r="BK43" i="158"/>
  <c r="BG43" i="158"/>
  <c r="BC43" i="158"/>
  <c r="AY43" i="158"/>
  <c r="AU43" i="158"/>
  <c r="AQ43" i="158"/>
  <c r="AM43" i="158"/>
  <c r="AI43" i="158"/>
  <c r="AE43" i="158"/>
  <c r="AA43" i="158"/>
  <c r="W43" i="158"/>
  <c r="S43" i="158"/>
  <c r="O43" i="158"/>
  <c r="J43" i="158"/>
  <c r="BW42" i="158"/>
  <c r="BS42" i="158"/>
  <c r="BO42" i="158"/>
  <c r="BK42" i="158"/>
  <c r="BG42" i="158"/>
  <c r="BC42" i="158"/>
  <c r="AY42" i="158"/>
  <c r="AU42" i="158"/>
  <c r="AQ42" i="158"/>
  <c r="AM42" i="158"/>
  <c r="AI42" i="158"/>
  <c r="AE42" i="158"/>
  <c r="AA42" i="158"/>
  <c r="W42" i="158"/>
  <c r="S42" i="158"/>
  <c r="O42" i="158"/>
  <c r="J42" i="158"/>
  <c r="BW41" i="158"/>
  <c r="BS41" i="158"/>
  <c r="BO41" i="158"/>
  <c r="BK41" i="158"/>
  <c r="BG41" i="158"/>
  <c r="BC41" i="158"/>
  <c r="AY41" i="158"/>
  <c r="AU41" i="158"/>
  <c r="AQ41" i="158"/>
  <c r="AM41" i="158"/>
  <c r="AI41" i="158"/>
  <c r="AE41" i="158"/>
  <c r="AA41" i="158"/>
  <c r="W41" i="158"/>
  <c r="S41" i="158"/>
  <c r="O41" i="158"/>
  <c r="J41" i="158"/>
  <c r="BW40" i="158"/>
  <c r="BS40" i="158"/>
  <c r="BO40" i="158"/>
  <c r="BK40" i="158"/>
  <c r="BG40" i="158"/>
  <c r="BC40" i="158"/>
  <c r="AY40" i="158"/>
  <c r="AU40" i="158"/>
  <c r="AQ40" i="158"/>
  <c r="AM40" i="158"/>
  <c r="AI40" i="158"/>
  <c r="AE40" i="158"/>
  <c r="AA40" i="158"/>
  <c r="W40" i="158"/>
  <c r="S40" i="158"/>
  <c r="O40" i="158"/>
  <c r="J40" i="158"/>
  <c r="BW39" i="158"/>
  <c r="BS39" i="158"/>
  <c r="BO39" i="158"/>
  <c r="BK39" i="158"/>
  <c r="BG39" i="158"/>
  <c r="BC39" i="158"/>
  <c r="AY39" i="158"/>
  <c r="AU39" i="158"/>
  <c r="AQ39" i="158"/>
  <c r="AM39" i="158"/>
  <c r="AI39" i="158"/>
  <c r="AE39" i="158"/>
  <c r="AA39" i="158"/>
  <c r="W39" i="158"/>
  <c r="S39" i="158"/>
  <c r="O39" i="158"/>
  <c r="J39" i="158"/>
  <c r="BW38" i="158"/>
  <c r="BS38" i="158"/>
  <c r="BO38" i="158"/>
  <c r="BK38" i="158"/>
  <c r="BG38" i="158"/>
  <c r="BC38" i="158"/>
  <c r="AY38" i="158"/>
  <c r="AU38" i="158"/>
  <c r="AQ38" i="158"/>
  <c r="AM38" i="158"/>
  <c r="AI38" i="158"/>
  <c r="AE38" i="158"/>
  <c r="AA38" i="158"/>
  <c r="W38" i="158"/>
  <c r="S38" i="158"/>
  <c r="O38" i="158"/>
  <c r="J38" i="158"/>
  <c r="BW37" i="158"/>
  <c r="BS37" i="158"/>
  <c r="BO37" i="158"/>
  <c r="BK37" i="158"/>
  <c r="BG37" i="158"/>
  <c r="BC37" i="158"/>
  <c r="AY37" i="158"/>
  <c r="AU37" i="158"/>
  <c r="AQ37" i="158"/>
  <c r="AM37" i="158"/>
  <c r="AI37" i="158"/>
  <c r="AE37" i="158"/>
  <c r="AA37" i="158"/>
  <c r="W37" i="158"/>
  <c r="S37" i="158"/>
  <c r="O37" i="158"/>
  <c r="J37" i="158"/>
  <c r="BW36" i="158"/>
  <c r="BS36" i="158"/>
  <c r="BO36" i="158"/>
  <c r="BK36" i="158"/>
  <c r="BG36" i="158"/>
  <c r="BC36" i="158"/>
  <c r="AY36" i="158"/>
  <c r="AU36" i="158"/>
  <c r="AQ36" i="158"/>
  <c r="AM36" i="158"/>
  <c r="AI36" i="158"/>
  <c r="AE36" i="158"/>
  <c r="AA36" i="158"/>
  <c r="W36" i="158"/>
  <c r="S36" i="158"/>
  <c r="O36" i="158"/>
  <c r="J36" i="158"/>
  <c r="BW35" i="158"/>
  <c r="BS35" i="158"/>
  <c r="BO35" i="158"/>
  <c r="BK35" i="158"/>
  <c r="BG35" i="158"/>
  <c r="BC35" i="158"/>
  <c r="AY35" i="158"/>
  <c r="AU35" i="158"/>
  <c r="AQ35" i="158"/>
  <c r="AM35" i="158"/>
  <c r="AI35" i="158"/>
  <c r="AE35" i="158"/>
  <c r="AA35" i="158"/>
  <c r="W35" i="158"/>
  <c r="S35" i="158"/>
  <c r="O35" i="158"/>
  <c r="J35" i="158"/>
  <c r="BW34" i="158"/>
  <c r="BS34" i="158"/>
  <c r="BO34" i="158"/>
  <c r="BK34" i="158"/>
  <c r="BG34" i="158"/>
  <c r="BC34" i="158"/>
  <c r="AY34" i="158"/>
  <c r="AU34" i="158"/>
  <c r="AQ34" i="158"/>
  <c r="AM34" i="158"/>
  <c r="AI34" i="158"/>
  <c r="AE34" i="158"/>
  <c r="AA34" i="158"/>
  <c r="W34" i="158"/>
  <c r="S34" i="158"/>
  <c r="O34" i="158"/>
  <c r="J34" i="158"/>
  <c r="BW33" i="158"/>
  <c r="BS33" i="158"/>
  <c r="BO33" i="158"/>
  <c r="BK33" i="158"/>
  <c r="BG33" i="158"/>
  <c r="BC33" i="158"/>
  <c r="AY33" i="158"/>
  <c r="AU33" i="158"/>
  <c r="AQ33" i="158"/>
  <c r="AM33" i="158"/>
  <c r="AI33" i="158"/>
  <c r="AE33" i="158"/>
  <c r="AA33" i="158"/>
  <c r="W33" i="158"/>
  <c r="S33" i="158"/>
  <c r="O33" i="158"/>
  <c r="J33" i="158"/>
  <c r="BW32" i="158"/>
  <c r="BS32" i="158"/>
  <c r="BO32" i="158"/>
  <c r="BK32" i="158"/>
  <c r="BG32" i="158"/>
  <c r="BC32" i="158"/>
  <c r="AY32" i="158"/>
  <c r="AU32" i="158"/>
  <c r="AQ32" i="158"/>
  <c r="AM32" i="158"/>
  <c r="AI32" i="158"/>
  <c r="AE32" i="158"/>
  <c r="AA32" i="158"/>
  <c r="W32" i="158"/>
  <c r="S32" i="158"/>
  <c r="O32" i="158"/>
  <c r="J32" i="158"/>
  <c r="BW31" i="158"/>
  <c r="BS31" i="158"/>
  <c r="BO31" i="158"/>
  <c r="BK31" i="158"/>
  <c r="BG31" i="158"/>
  <c r="BC31" i="158"/>
  <c r="AY31" i="158"/>
  <c r="AU31" i="158"/>
  <c r="AQ31" i="158"/>
  <c r="AM31" i="158"/>
  <c r="AI31" i="158"/>
  <c r="AE31" i="158"/>
  <c r="AA31" i="158"/>
  <c r="W31" i="158"/>
  <c r="S31" i="158"/>
  <c r="O31" i="158"/>
  <c r="J31" i="158"/>
  <c r="BW30" i="158"/>
  <c r="BS30" i="158"/>
  <c r="BO30" i="158"/>
  <c r="BK30" i="158"/>
  <c r="BG30" i="158"/>
  <c r="BC30" i="158"/>
  <c r="AY30" i="158"/>
  <c r="AU30" i="158"/>
  <c r="AQ30" i="158"/>
  <c r="AM30" i="158"/>
  <c r="AI30" i="158"/>
  <c r="AE30" i="158"/>
  <c r="AA30" i="158"/>
  <c r="W30" i="158"/>
  <c r="S30" i="158"/>
  <c r="O30" i="158"/>
  <c r="J30" i="158"/>
  <c r="BW29" i="158"/>
  <c r="BS29" i="158"/>
  <c r="BO29" i="158"/>
  <c r="BK29" i="158"/>
  <c r="BG29" i="158"/>
  <c r="BC29" i="158"/>
  <c r="AY29" i="158"/>
  <c r="AU29" i="158"/>
  <c r="AQ29" i="158"/>
  <c r="AM29" i="158"/>
  <c r="AI29" i="158"/>
  <c r="AE29" i="158"/>
  <c r="AA29" i="158"/>
  <c r="W29" i="158"/>
  <c r="S29" i="158"/>
  <c r="O29" i="158"/>
  <c r="J29" i="158"/>
  <c r="BW28" i="158"/>
  <c r="BS28" i="158"/>
  <c r="BO28" i="158"/>
  <c r="BK28" i="158"/>
  <c r="BG28" i="158"/>
  <c r="BC28" i="158"/>
  <c r="AY28" i="158"/>
  <c r="AU28" i="158"/>
  <c r="AQ28" i="158"/>
  <c r="AM28" i="158"/>
  <c r="AI28" i="158"/>
  <c r="AE28" i="158"/>
  <c r="AA28" i="158"/>
  <c r="W28" i="158"/>
  <c r="S28" i="158"/>
  <c r="O28" i="158"/>
  <c r="J28" i="158"/>
  <c r="BW27" i="158"/>
  <c r="BS27" i="158"/>
  <c r="BO27" i="158"/>
  <c r="BK27" i="158"/>
  <c r="BG27" i="158"/>
  <c r="BC27" i="158"/>
  <c r="AY27" i="158"/>
  <c r="AU27" i="158"/>
  <c r="AQ27" i="158"/>
  <c r="AM27" i="158"/>
  <c r="AI27" i="158"/>
  <c r="AE27" i="158"/>
  <c r="AA27" i="158"/>
  <c r="W27" i="158"/>
  <c r="S27" i="158"/>
  <c r="O27" i="158"/>
  <c r="J27" i="158"/>
  <c r="BW26" i="158"/>
  <c r="BS26" i="158"/>
  <c r="BO26" i="158"/>
  <c r="BK26" i="158"/>
  <c r="BG26" i="158"/>
  <c r="BC26" i="158"/>
  <c r="AY26" i="158"/>
  <c r="AU26" i="158"/>
  <c r="AQ26" i="158"/>
  <c r="AM26" i="158"/>
  <c r="AI26" i="158"/>
  <c r="AE26" i="158"/>
  <c r="AA26" i="158"/>
  <c r="W26" i="158"/>
  <c r="S26" i="158"/>
  <c r="O26" i="158"/>
  <c r="J26" i="158"/>
  <c r="BW25" i="158"/>
  <c r="BS25" i="158"/>
  <c r="BO25" i="158"/>
  <c r="BK25" i="158"/>
  <c r="BG25" i="158"/>
  <c r="BC25" i="158"/>
  <c r="AY25" i="158"/>
  <c r="AU25" i="158"/>
  <c r="AQ25" i="158"/>
  <c r="AM25" i="158"/>
  <c r="AI25" i="158"/>
  <c r="AE25" i="158"/>
  <c r="AA25" i="158"/>
  <c r="W25" i="158"/>
  <c r="S25" i="158"/>
  <c r="O25" i="158"/>
  <c r="J25" i="158"/>
  <c r="BW24" i="158"/>
  <c r="BS24" i="158"/>
  <c r="BO24" i="158"/>
  <c r="BK24" i="158"/>
  <c r="BG24" i="158"/>
  <c r="BC24" i="158"/>
  <c r="AY24" i="158"/>
  <c r="AU24" i="158"/>
  <c r="AQ24" i="158"/>
  <c r="AM24" i="158"/>
  <c r="AI24" i="158"/>
  <c r="AE24" i="158"/>
  <c r="AA24" i="158"/>
  <c r="W24" i="158"/>
  <c r="S24" i="158"/>
  <c r="O24" i="158"/>
  <c r="J24" i="158"/>
  <c r="BW23" i="158"/>
  <c r="BS23" i="158"/>
  <c r="BO23" i="158"/>
  <c r="BK23" i="158"/>
  <c r="BG23" i="158"/>
  <c r="BC23" i="158"/>
  <c r="AY23" i="158"/>
  <c r="AU23" i="158"/>
  <c r="AQ23" i="158"/>
  <c r="AM23" i="158"/>
  <c r="AI23" i="158"/>
  <c r="AE23" i="158"/>
  <c r="AA23" i="158"/>
  <c r="W23" i="158"/>
  <c r="S23" i="158"/>
  <c r="O23" i="158"/>
  <c r="J23" i="158"/>
  <c r="BW22" i="158"/>
  <c r="BS22" i="158"/>
  <c r="BO22" i="158"/>
  <c r="BK22" i="158"/>
  <c r="BG22" i="158"/>
  <c r="BC22" i="158"/>
  <c r="AY22" i="158"/>
  <c r="AU22" i="158"/>
  <c r="AQ22" i="158"/>
  <c r="AM22" i="158"/>
  <c r="AI22" i="158"/>
  <c r="AE22" i="158"/>
  <c r="AA22" i="158"/>
  <c r="W22" i="158"/>
  <c r="S22" i="158"/>
  <c r="O22" i="158"/>
  <c r="J22" i="158"/>
  <c r="BW21" i="158"/>
  <c r="BS21" i="158"/>
  <c r="BO21" i="158"/>
  <c r="BK21" i="158"/>
  <c r="BG21" i="158"/>
  <c r="BC21" i="158"/>
  <c r="AY21" i="158"/>
  <c r="AU21" i="158"/>
  <c r="AQ21" i="158"/>
  <c r="AM21" i="158"/>
  <c r="AI21" i="158"/>
  <c r="AE21" i="158"/>
  <c r="AA21" i="158"/>
  <c r="W21" i="158"/>
  <c r="S21" i="158"/>
  <c r="O21" i="158"/>
  <c r="J21" i="158"/>
  <c r="BW20" i="158"/>
  <c r="BS20" i="158"/>
  <c r="BO20" i="158"/>
  <c r="BK20" i="158"/>
  <c r="BG20" i="158"/>
  <c r="BC20" i="158"/>
  <c r="AY20" i="158"/>
  <c r="AU20" i="158"/>
  <c r="AQ20" i="158"/>
  <c r="AM20" i="158"/>
  <c r="AI20" i="158"/>
  <c r="AE20" i="158"/>
  <c r="AA20" i="158"/>
  <c r="W20" i="158"/>
  <c r="S20" i="158"/>
  <c r="O20" i="158"/>
  <c r="J20" i="158"/>
  <c r="BW19" i="158"/>
  <c r="BS19" i="158"/>
  <c r="BO19" i="158"/>
  <c r="BK19" i="158"/>
  <c r="BG19" i="158"/>
  <c r="BC19" i="158"/>
  <c r="AY19" i="158"/>
  <c r="AU19" i="158"/>
  <c r="AQ19" i="158"/>
  <c r="AM19" i="158"/>
  <c r="AI19" i="158"/>
  <c r="AE19" i="158"/>
  <c r="AA19" i="158"/>
  <c r="W19" i="158"/>
  <c r="S19" i="158"/>
  <c r="O19" i="158"/>
  <c r="J19" i="158"/>
  <c r="BW18" i="158"/>
  <c r="BS18" i="158"/>
  <c r="BO18" i="158"/>
  <c r="BK18" i="158"/>
  <c r="BG18" i="158"/>
  <c r="BC18" i="158"/>
  <c r="AY18" i="158"/>
  <c r="AU18" i="158"/>
  <c r="AQ18" i="158"/>
  <c r="AM18" i="158"/>
  <c r="AI18" i="158"/>
  <c r="AE18" i="158"/>
  <c r="AA18" i="158"/>
  <c r="W18" i="158"/>
  <c r="S18" i="158"/>
  <c r="O18" i="158"/>
  <c r="J18" i="158"/>
  <c r="BW17" i="158"/>
  <c r="BS17" i="158"/>
  <c r="BO17" i="158"/>
  <c r="BK17" i="158"/>
  <c r="BG17" i="158"/>
  <c r="BC17" i="158"/>
  <c r="AY17" i="158"/>
  <c r="AU17" i="158"/>
  <c r="AQ17" i="158"/>
  <c r="AM17" i="158"/>
  <c r="AI17" i="158"/>
  <c r="AE17" i="158"/>
  <c r="AA17" i="158"/>
  <c r="W17" i="158"/>
  <c r="S17" i="158"/>
  <c r="O17" i="158"/>
  <c r="J17" i="158"/>
  <c r="BW16" i="158"/>
  <c r="BS16" i="158"/>
  <c r="BO16" i="158"/>
  <c r="BK16" i="158"/>
  <c r="BG16" i="158"/>
  <c r="BC16" i="158"/>
  <c r="AY16" i="158"/>
  <c r="AU16" i="158"/>
  <c r="AQ16" i="158"/>
  <c r="AM16" i="158"/>
  <c r="AI16" i="158"/>
  <c r="AE16" i="158"/>
  <c r="AA16" i="158"/>
  <c r="W16" i="158"/>
  <c r="S16" i="158"/>
  <c r="O16" i="158"/>
  <c r="J16" i="158"/>
  <c r="BW15" i="158"/>
  <c r="BS15" i="158"/>
  <c r="BO15" i="158"/>
  <c r="BK15" i="158"/>
  <c r="BG15" i="158"/>
  <c r="BC15" i="158"/>
  <c r="AY15" i="158"/>
  <c r="AU15" i="158"/>
  <c r="AQ15" i="158"/>
  <c r="AM15" i="158"/>
  <c r="AI15" i="158"/>
  <c r="AE15" i="158"/>
  <c r="AA15" i="158"/>
  <c r="W15" i="158"/>
  <c r="S15" i="158"/>
  <c r="O15" i="158"/>
  <c r="J15" i="158"/>
  <c r="BW14" i="158"/>
  <c r="BS14" i="158"/>
  <c r="BO14" i="158"/>
  <c r="BK14" i="158"/>
  <c r="BG14" i="158"/>
  <c r="BC14" i="158"/>
  <c r="AY14" i="158"/>
  <c r="AU14" i="158"/>
  <c r="AQ14" i="158"/>
  <c r="AM14" i="158"/>
  <c r="AI14" i="158"/>
  <c r="AE14" i="158"/>
  <c r="AA14" i="158"/>
  <c r="W14" i="158"/>
  <c r="S14" i="158"/>
  <c r="O14" i="158"/>
  <c r="J14" i="158"/>
  <c r="BW13" i="158"/>
  <c r="BS13" i="158"/>
  <c r="BO13" i="158"/>
  <c r="BK13" i="158"/>
  <c r="BG13" i="158"/>
  <c r="BC13" i="158"/>
  <c r="AY13" i="158"/>
  <c r="AU13" i="158"/>
  <c r="AQ13" i="158"/>
  <c r="AM13" i="158"/>
  <c r="AI13" i="158"/>
  <c r="AE13" i="158"/>
  <c r="AA13" i="158"/>
  <c r="W13" i="158"/>
  <c r="S13" i="158"/>
  <c r="O13" i="158"/>
  <c r="J13" i="158"/>
  <c r="BW12" i="158"/>
  <c r="BS12" i="158"/>
  <c r="BO12" i="158"/>
  <c r="BK12" i="158"/>
  <c r="BG12" i="158"/>
  <c r="BC12" i="158"/>
  <c r="AY12" i="158"/>
  <c r="AU12" i="158"/>
  <c r="AQ12" i="158"/>
  <c r="AM12" i="158"/>
  <c r="AI12" i="158"/>
  <c r="AE12" i="158"/>
  <c r="AA12" i="158"/>
  <c r="W12" i="158"/>
  <c r="S12" i="158"/>
  <c r="O12" i="158"/>
  <c r="J12" i="158"/>
  <c r="BW11" i="158"/>
  <c r="BS11" i="158"/>
  <c r="BO11" i="158"/>
  <c r="BK11" i="158"/>
  <c r="BG11" i="158"/>
  <c r="BC11" i="158"/>
  <c r="AY11" i="158"/>
  <c r="AU11" i="158"/>
  <c r="AQ11" i="158"/>
  <c r="AM11" i="158"/>
  <c r="AI11" i="158"/>
  <c r="AE11" i="158"/>
  <c r="AA11" i="158"/>
  <c r="W11" i="158"/>
  <c r="S11" i="158"/>
  <c r="O11" i="158"/>
  <c r="J11" i="158"/>
  <c r="BW10" i="158"/>
  <c r="BS10" i="158"/>
  <c r="BO10" i="158"/>
  <c r="BK10" i="158"/>
  <c r="BG10" i="158"/>
  <c r="BC10" i="158"/>
  <c r="AY10" i="158"/>
  <c r="AU10" i="158"/>
  <c r="AQ10" i="158"/>
  <c r="AM10" i="158"/>
  <c r="AI10" i="158"/>
  <c r="AE10" i="158"/>
  <c r="AA10" i="158"/>
  <c r="W10" i="158"/>
  <c r="S10" i="158"/>
  <c r="O10" i="158"/>
  <c r="J10" i="158"/>
  <c r="BW9" i="158"/>
  <c r="BS9" i="158"/>
  <c r="BO9" i="158"/>
  <c r="BK9" i="158"/>
  <c r="BG9" i="158"/>
  <c r="BC9" i="158"/>
  <c r="AY9" i="158"/>
  <c r="AU9" i="158"/>
  <c r="AQ9" i="158"/>
  <c r="AM9" i="158"/>
  <c r="AI9" i="158"/>
  <c r="AE9" i="158"/>
  <c r="AA9" i="158"/>
  <c r="W9" i="158"/>
  <c r="S9" i="158"/>
  <c r="O9" i="158"/>
  <c r="J9" i="158"/>
  <c r="BW8" i="158"/>
  <c r="BS8" i="158"/>
  <c r="BO8" i="158"/>
  <c r="BK8" i="158"/>
  <c r="BG8" i="158"/>
  <c r="BC8" i="158"/>
  <c r="AY8" i="158"/>
  <c r="AU8" i="158"/>
  <c r="AQ8" i="158"/>
  <c r="AM8" i="158"/>
  <c r="AI8" i="158"/>
  <c r="AE8" i="158"/>
  <c r="AA8" i="158"/>
  <c r="W8" i="158"/>
  <c r="S8" i="158"/>
  <c r="O8" i="158"/>
  <c r="J8" i="158"/>
  <c r="BW7" i="158"/>
  <c r="BS7" i="158"/>
  <c r="BO7" i="158"/>
  <c r="BK7" i="158"/>
  <c r="BG7" i="158"/>
  <c r="BC7" i="158"/>
  <c r="AY7" i="158"/>
  <c r="AU7" i="158"/>
  <c r="AQ7" i="158"/>
  <c r="AM7" i="158"/>
  <c r="AI7" i="158"/>
  <c r="AE7" i="158"/>
  <c r="AA7" i="158"/>
  <c r="W7" i="158"/>
  <c r="S7" i="158"/>
  <c r="O7" i="158"/>
  <c r="J7" i="158"/>
  <c r="BV6" i="158"/>
  <c r="BW6" i="158" s="1"/>
  <c r="BU6" i="158"/>
  <c r="BT6" i="158"/>
  <c r="BI6" i="158"/>
  <c r="BH6" i="158"/>
  <c r="BB6" i="158"/>
  <c r="BC6" i="158" s="1"/>
  <c r="AW6" i="158"/>
  <c r="AV6" i="158"/>
  <c r="AK6" i="158"/>
  <c r="AJ6" i="158"/>
  <c r="AD6" i="158"/>
  <c r="AE6" i="158" s="1"/>
  <c r="Y6" i="158"/>
  <c r="X6" i="158"/>
  <c r="M6" i="158"/>
  <c r="L6" i="158"/>
  <c r="BT5" i="158"/>
  <c r="BW5" i="158" s="1"/>
  <c r="AZ5" i="158"/>
  <c r="BC5" i="158" s="1"/>
  <c r="AV5" i="158"/>
  <c r="AY5" i="158" s="1"/>
  <c r="AB5" i="158"/>
  <c r="AE5" i="158" s="1"/>
  <c r="X5" i="158"/>
  <c r="AA5" i="158" s="1"/>
  <c r="BS4" i="158"/>
  <c r="BT4" i="158" s="1"/>
  <c r="BO4" i="158"/>
  <c r="BR6" i="158" s="1"/>
  <c r="BS6" i="158" s="1"/>
  <c r="BK4" i="158"/>
  <c r="BL4" i="158" s="1"/>
  <c r="BG4" i="158"/>
  <c r="BH4" i="158" s="1"/>
  <c r="BC4" i="158"/>
  <c r="BF6" i="158" s="1"/>
  <c r="BG6" i="158" s="1"/>
  <c r="AY4" i="158"/>
  <c r="BA6" i="158" s="1"/>
  <c r="AU4" i="158"/>
  <c r="AV4" i="158" s="1"/>
  <c r="AQ4" i="158"/>
  <c r="AT6" i="158" s="1"/>
  <c r="AU6" i="158" s="1"/>
  <c r="AM4" i="158"/>
  <c r="AN4" i="158" s="1"/>
  <c r="AI4" i="158"/>
  <c r="AJ4" i="158" s="1"/>
  <c r="AE4" i="158"/>
  <c r="AH6" i="158" s="1"/>
  <c r="AI6" i="158" s="1"/>
  <c r="AA4" i="158"/>
  <c r="AC6" i="158" s="1"/>
  <c r="W4" i="158"/>
  <c r="X4" i="158" s="1"/>
  <c r="S4" i="158"/>
  <c r="V6" i="158" s="1"/>
  <c r="W6" i="158" s="1"/>
  <c r="O4" i="158"/>
  <c r="P4" i="158" s="1"/>
  <c r="K4" i="158"/>
  <c r="L4" i="158" s="1"/>
  <c r="J4" i="158"/>
  <c r="BT3" i="158"/>
  <c r="BP3" i="158"/>
  <c r="BL3" i="158"/>
  <c r="BH3" i="158"/>
  <c r="BD3" i="158"/>
  <c r="AZ3" i="158"/>
  <c r="AV3" i="158"/>
  <c r="AR3" i="158"/>
  <c r="AN3" i="158"/>
  <c r="AJ3" i="158"/>
  <c r="AF3" i="158"/>
  <c r="AB3" i="158"/>
  <c r="X3" i="158"/>
  <c r="T3" i="158"/>
  <c r="P3" i="158"/>
  <c r="L3" i="158"/>
  <c r="J3" i="158"/>
  <c r="J2" i="158"/>
  <c r="F1" i="158"/>
  <c r="BW82" i="157"/>
  <c r="BS82" i="157"/>
  <c r="BO82" i="157"/>
  <c r="BK82" i="157"/>
  <c r="BG82" i="157"/>
  <c r="BC82" i="157"/>
  <c r="AY82" i="157"/>
  <c r="AU82" i="157"/>
  <c r="AQ82" i="157"/>
  <c r="AM82" i="157"/>
  <c r="AI82" i="157"/>
  <c r="AE82" i="157"/>
  <c r="AA82" i="157"/>
  <c r="W82" i="157"/>
  <c r="S82" i="157"/>
  <c r="O82" i="157"/>
  <c r="J82" i="157"/>
  <c r="BW81" i="157"/>
  <c r="BS81" i="157"/>
  <c r="BO81" i="157"/>
  <c r="BK81" i="157"/>
  <c r="BG81" i="157"/>
  <c r="BC81" i="157"/>
  <c r="AY81" i="157"/>
  <c r="AU81" i="157"/>
  <c r="AQ81" i="157"/>
  <c r="AM81" i="157"/>
  <c r="AI81" i="157"/>
  <c r="AE81" i="157"/>
  <c r="AA81" i="157"/>
  <c r="W81" i="157"/>
  <c r="S81" i="157"/>
  <c r="O81" i="157"/>
  <c r="J81" i="157"/>
  <c r="BW80" i="157"/>
  <c r="BS80" i="157"/>
  <c r="BO80" i="157"/>
  <c r="BK80" i="157"/>
  <c r="BG80" i="157"/>
  <c r="BC80" i="157"/>
  <c r="AY80" i="157"/>
  <c r="AU80" i="157"/>
  <c r="AQ80" i="157"/>
  <c r="AM80" i="157"/>
  <c r="AI80" i="157"/>
  <c r="AE80" i="157"/>
  <c r="AA80" i="157"/>
  <c r="W80" i="157"/>
  <c r="S80" i="157"/>
  <c r="O80" i="157"/>
  <c r="J80" i="157"/>
  <c r="BW79" i="157"/>
  <c r="BS79" i="157"/>
  <c r="BO79" i="157"/>
  <c r="BK79" i="157"/>
  <c r="BG79" i="157"/>
  <c r="BC79" i="157"/>
  <c r="AY79" i="157"/>
  <c r="AU79" i="157"/>
  <c r="AQ79" i="157"/>
  <c r="AM79" i="157"/>
  <c r="AI79" i="157"/>
  <c r="AE79" i="157"/>
  <c r="AA79" i="157"/>
  <c r="W79" i="157"/>
  <c r="S79" i="157"/>
  <c r="O79" i="157"/>
  <c r="J79" i="157"/>
  <c r="BW78" i="157"/>
  <c r="BS78" i="157"/>
  <c r="BO78" i="157"/>
  <c r="BK78" i="157"/>
  <c r="BG78" i="157"/>
  <c r="BC78" i="157"/>
  <c r="AY78" i="157"/>
  <c r="AU78" i="157"/>
  <c r="AQ78" i="157"/>
  <c r="AM78" i="157"/>
  <c r="AI78" i="157"/>
  <c r="AE78" i="157"/>
  <c r="AA78" i="157"/>
  <c r="W78" i="157"/>
  <c r="S78" i="157"/>
  <c r="O78" i="157"/>
  <c r="J78" i="157"/>
  <c r="BW77" i="157"/>
  <c r="BS77" i="157"/>
  <c r="BO77" i="157"/>
  <c r="BK77" i="157"/>
  <c r="BG77" i="157"/>
  <c r="BC77" i="157"/>
  <c r="AY77" i="157"/>
  <c r="AU77" i="157"/>
  <c r="AQ77" i="157"/>
  <c r="AM77" i="157"/>
  <c r="AI77" i="157"/>
  <c r="AE77" i="157"/>
  <c r="AA77" i="157"/>
  <c r="W77" i="157"/>
  <c r="S77" i="157"/>
  <c r="O77" i="157"/>
  <c r="J77" i="157"/>
  <c r="BW76" i="157"/>
  <c r="BS76" i="157"/>
  <c r="BO76" i="157"/>
  <c r="BK76" i="157"/>
  <c r="BG76" i="157"/>
  <c r="BC76" i="157"/>
  <c r="AY76" i="157"/>
  <c r="AU76" i="157"/>
  <c r="AQ76" i="157"/>
  <c r="AM76" i="157"/>
  <c r="AI76" i="157"/>
  <c r="AE76" i="157"/>
  <c r="AA76" i="157"/>
  <c r="W76" i="157"/>
  <c r="S76" i="157"/>
  <c r="O76" i="157"/>
  <c r="J76" i="157"/>
  <c r="BW75" i="157"/>
  <c r="BS75" i="157"/>
  <c r="BO75" i="157"/>
  <c r="BK75" i="157"/>
  <c r="BG75" i="157"/>
  <c r="BC75" i="157"/>
  <c r="AY75" i="157"/>
  <c r="AU75" i="157"/>
  <c r="AQ75" i="157"/>
  <c r="AM75" i="157"/>
  <c r="AI75" i="157"/>
  <c r="AE75" i="157"/>
  <c r="AA75" i="157"/>
  <c r="W75" i="157"/>
  <c r="S75" i="157"/>
  <c r="O75" i="157"/>
  <c r="J75" i="157"/>
  <c r="BW74" i="157"/>
  <c r="BS74" i="157"/>
  <c r="BO74" i="157"/>
  <c r="BK74" i="157"/>
  <c r="BG74" i="157"/>
  <c r="BC74" i="157"/>
  <c r="AY74" i="157"/>
  <c r="AU74" i="157"/>
  <c r="AQ74" i="157"/>
  <c r="AM74" i="157"/>
  <c r="AI74" i="157"/>
  <c r="AE74" i="157"/>
  <c r="AA74" i="157"/>
  <c r="W74" i="157"/>
  <c r="S74" i="157"/>
  <c r="O74" i="157"/>
  <c r="J74" i="157"/>
  <c r="BW73" i="157"/>
  <c r="BS73" i="157"/>
  <c r="BO73" i="157"/>
  <c r="BK73" i="157"/>
  <c r="BG73" i="157"/>
  <c r="BC73" i="157"/>
  <c r="AY73" i="157"/>
  <c r="AU73" i="157"/>
  <c r="AQ73" i="157"/>
  <c r="AM73" i="157"/>
  <c r="AI73" i="157"/>
  <c r="AE73" i="157"/>
  <c r="AA73" i="157"/>
  <c r="W73" i="157"/>
  <c r="S73" i="157"/>
  <c r="O73" i="157"/>
  <c r="J73" i="157"/>
  <c r="BW72" i="157"/>
  <c r="BS72" i="157"/>
  <c r="BO72" i="157"/>
  <c r="BK72" i="157"/>
  <c r="BG72" i="157"/>
  <c r="BC72" i="157"/>
  <c r="AY72" i="157"/>
  <c r="AU72" i="157"/>
  <c r="AQ72" i="157"/>
  <c r="AM72" i="157"/>
  <c r="AI72" i="157"/>
  <c r="AE72" i="157"/>
  <c r="AA72" i="157"/>
  <c r="W72" i="157"/>
  <c r="S72" i="157"/>
  <c r="O72" i="157"/>
  <c r="J72" i="157"/>
  <c r="BW71" i="157"/>
  <c r="BS71" i="157"/>
  <c r="BO71" i="157"/>
  <c r="BK71" i="157"/>
  <c r="BG71" i="157"/>
  <c r="BC71" i="157"/>
  <c r="AY71" i="157"/>
  <c r="AU71" i="157"/>
  <c r="AQ71" i="157"/>
  <c r="AM71" i="157"/>
  <c r="AI71" i="157"/>
  <c r="AE71" i="157"/>
  <c r="AA71" i="157"/>
  <c r="W71" i="157"/>
  <c r="S71" i="157"/>
  <c r="O71" i="157"/>
  <c r="J71" i="157"/>
  <c r="BW70" i="157"/>
  <c r="BS70" i="157"/>
  <c r="BO70" i="157"/>
  <c r="BK70" i="157"/>
  <c r="BG70" i="157"/>
  <c r="BC70" i="157"/>
  <c r="AY70" i="157"/>
  <c r="AU70" i="157"/>
  <c r="AQ70" i="157"/>
  <c r="AM70" i="157"/>
  <c r="AI70" i="157"/>
  <c r="AE70" i="157"/>
  <c r="AA70" i="157"/>
  <c r="W70" i="157"/>
  <c r="S70" i="157"/>
  <c r="O70" i="157"/>
  <c r="J70" i="157"/>
  <c r="BW69" i="157"/>
  <c r="BS69" i="157"/>
  <c r="BO69" i="157"/>
  <c r="BK69" i="157"/>
  <c r="BG69" i="157"/>
  <c r="BC69" i="157"/>
  <c r="AY69" i="157"/>
  <c r="AU69" i="157"/>
  <c r="AQ69" i="157"/>
  <c r="AM69" i="157"/>
  <c r="AI69" i="157"/>
  <c r="AE69" i="157"/>
  <c r="AA69" i="157"/>
  <c r="W69" i="157"/>
  <c r="S69" i="157"/>
  <c r="O69" i="157"/>
  <c r="J69" i="157"/>
  <c r="BW68" i="157"/>
  <c r="BS68" i="157"/>
  <c r="BO68" i="157"/>
  <c r="BK68" i="157"/>
  <c r="BG68" i="157"/>
  <c r="BC68" i="157"/>
  <c r="AY68" i="157"/>
  <c r="AU68" i="157"/>
  <c r="AQ68" i="157"/>
  <c r="AM68" i="157"/>
  <c r="AI68" i="157"/>
  <c r="AE68" i="157"/>
  <c r="AA68" i="157"/>
  <c r="W68" i="157"/>
  <c r="S68" i="157"/>
  <c r="O68" i="157"/>
  <c r="J68" i="157"/>
  <c r="BW67" i="157"/>
  <c r="BS67" i="157"/>
  <c r="BO67" i="157"/>
  <c r="BK67" i="157"/>
  <c r="BG67" i="157"/>
  <c r="BC67" i="157"/>
  <c r="AY67" i="157"/>
  <c r="AU67" i="157"/>
  <c r="AQ67" i="157"/>
  <c r="AM67" i="157"/>
  <c r="AI67" i="157"/>
  <c r="AE67" i="157"/>
  <c r="AA67" i="157"/>
  <c r="W67" i="157"/>
  <c r="S67" i="157"/>
  <c r="O67" i="157"/>
  <c r="J67" i="157"/>
  <c r="BW66" i="157"/>
  <c r="BS66" i="157"/>
  <c r="BO66" i="157"/>
  <c r="BK66" i="157"/>
  <c r="BG66" i="157"/>
  <c r="BC66" i="157"/>
  <c r="AY66" i="157"/>
  <c r="AU66" i="157"/>
  <c r="AQ66" i="157"/>
  <c r="AM66" i="157"/>
  <c r="AI66" i="157"/>
  <c r="AE66" i="157"/>
  <c r="AA66" i="157"/>
  <c r="W66" i="157"/>
  <c r="S66" i="157"/>
  <c r="O66" i="157"/>
  <c r="J66" i="157"/>
  <c r="BW65" i="157"/>
  <c r="BS65" i="157"/>
  <c r="BO65" i="157"/>
  <c r="BK65" i="157"/>
  <c r="BG65" i="157"/>
  <c r="BC65" i="157"/>
  <c r="AY65" i="157"/>
  <c r="AU65" i="157"/>
  <c r="AQ65" i="157"/>
  <c r="AM65" i="157"/>
  <c r="AI65" i="157"/>
  <c r="AE65" i="157"/>
  <c r="AA65" i="157"/>
  <c r="W65" i="157"/>
  <c r="S65" i="157"/>
  <c r="O65" i="157"/>
  <c r="J65" i="157"/>
  <c r="BW64" i="157"/>
  <c r="BS64" i="157"/>
  <c r="BO64" i="157"/>
  <c r="BK64" i="157"/>
  <c r="BG64" i="157"/>
  <c r="BC64" i="157"/>
  <c r="AY64" i="157"/>
  <c r="AU64" i="157"/>
  <c r="AQ64" i="157"/>
  <c r="AM64" i="157"/>
  <c r="AI64" i="157"/>
  <c r="AE64" i="157"/>
  <c r="AA64" i="157"/>
  <c r="W64" i="157"/>
  <c r="S64" i="157"/>
  <c r="O64" i="157"/>
  <c r="J64" i="157"/>
  <c r="BW63" i="157"/>
  <c r="BS63" i="157"/>
  <c r="BO63" i="157"/>
  <c r="BK63" i="157"/>
  <c r="BG63" i="157"/>
  <c r="BC63" i="157"/>
  <c r="AY63" i="157"/>
  <c r="AU63" i="157"/>
  <c r="AQ63" i="157"/>
  <c r="AM63" i="157"/>
  <c r="AI63" i="157"/>
  <c r="AE63" i="157"/>
  <c r="AA63" i="157"/>
  <c r="W63" i="157"/>
  <c r="S63" i="157"/>
  <c r="O63" i="157"/>
  <c r="J63" i="157"/>
  <c r="BW62" i="157"/>
  <c r="BS62" i="157"/>
  <c r="BO62" i="157"/>
  <c r="BK62" i="157"/>
  <c r="BG62" i="157"/>
  <c r="BC62" i="157"/>
  <c r="AY62" i="157"/>
  <c r="AU62" i="157"/>
  <c r="AQ62" i="157"/>
  <c r="AM62" i="157"/>
  <c r="AI62" i="157"/>
  <c r="AE62" i="157"/>
  <c r="AA62" i="157"/>
  <c r="W62" i="157"/>
  <c r="S62" i="157"/>
  <c r="O62" i="157"/>
  <c r="J62" i="157"/>
  <c r="BW61" i="157"/>
  <c r="BS61" i="157"/>
  <c r="BO61" i="157"/>
  <c r="BK61" i="157"/>
  <c r="BG61" i="157"/>
  <c r="BC61" i="157"/>
  <c r="AY61" i="157"/>
  <c r="AU61" i="157"/>
  <c r="AQ61" i="157"/>
  <c r="AM61" i="157"/>
  <c r="AI61" i="157"/>
  <c r="AE61" i="157"/>
  <c r="AA61" i="157"/>
  <c r="W61" i="157"/>
  <c r="S61" i="157"/>
  <c r="O61" i="157"/>
  <c r="J61" i="157"/>
  <c r="BW60" i="157"/>
  <c r="BS60" i="157"/>
  <c r="BO60" i="157"/>
  <c r="BK60" i="157"/>
  <c r="BG60" i="157"/>
  <c r="BC60" i="157"/>
  <c r="AY60" i="157"/>
  <c r="AU60" i="157"/>
  <c r="AQ60" i="157"/>
  <c r="AM60" i="157"/>
  <c r="AI60" i="157"/>
  <c r="AE60" i="157"/>
  <c r="AA60" i="157"/>
  <c r="W60" i="157"/>
  <c r="S60" i="157"/>
  <c r="O60" i="157"/>
  <c r="J60" i="157"/>
  <c r="BW59" i="157"/>
  <c r="BS59" i="157"/>
  <c r="BO59" i="157"/>
  <c r="BK59" i="157"/>
  <c r="BG59" i="157"/>
  <c r="BC59" i="157"/>
  <c r="AY59" i="157"/>
  <c r="AU59" i="157"/>
  <c r="AQ59" i="157"/>
  <c r="AM59" i="157"/>
  <c r="AI59" i="157"/>
  <c r="AE59" i="157"/>
  <c r="AA59" i="157"/>
  <c r="W59" i="157"/>
  <c r="S59" i="157"/>
  <c r="O59" i="157"/>
  <c r="J59" i="157"/>
  <c r="BW58" i="157"/>
  <c r="BS58" i="157"/>
  <c r="BO58" i="157"/>
  <c r="BK58" i="157"/>
  <c r="BG58" i="157"/>
  <c r="BC58" i="157"/>
  <c r="AY58" i="157"/>
  <c r="AU58" i="157"/>
  <c r="AQ58" i="157"/>
  <c r="AM58" i="157"/>
  <c r="AI58" i="157"/>
  <c r="AE58" i="157"/>
  <c r="AA58" i="157"/>
  <c r="W58" i="157"/>
  <c r="S58" i="157"/>
  <c r="O58" i="157"/>
  <c r="J58" i="157"/>
  <c r="BW57" i="157"/>
  <c r="BS57" i="157"/>
  <c r="BO57" i="157"/>
  <c r="BK57" i="157"/>
  <c r="BG57" i="157"/>
  <c r="BC57" i="157"/>
  <c r="AY57" i="157"/>
  <c r="AU57" i="157"/>
  <c r="AQ57" i="157"/>
  <c r="AM57" i="157"/>
  <c r="AI57" i="157"/>
  <c r="AE57" i="157"/>
  <c r="AA57" i="157"/>
  <c r="W57" i="157"/>
  <c r="S57" i="157"/>
  <c r="O57" i="157"/>
  <c r="J57" i="157"/>
  <c r="BW56" i="157"/>
  <c r="BS56" i="157"/>
  <c r="BO56" i="157"/>
  <c r="BK56" i="157"/>
  <c r="BG56" i="157"/>
  <c r="BC56" i="157"/>
  <c r="AY56" i="157"/>
  <c r="AU56" i="157"/>
  <c r="AQ56" i="157"/>
  <c r="AM56" i="157"/>
  <c r="AI56" i="157"/>
  <c r="AE56" i="157"/>
  <c r="AA56" i="157"/>
  <c r="W56" i="157"/>
  <c r="S56" i="157"/>
  <c r="O56" i="157"/>
  <c r="J56" i="157"/>
  <c r="BW55" i="157"/>
  <c r="BS55" i="157"/>
  <c r="BO55" i="157"/>
  <c r="BK55" i="157"/>
  <c r="BG55" i="157"/>
  <c r="BC55" i="157"/>
  <c r="AY55" i="157"/>
  <c r="AU55" i="157"/>
  <c r="AQ55" i="157"/>
  <c r="AM55" i="157"/>
  <c r="AI55" i="157"/>
  <c r="AE55" i="157"/>
  <c r="AA55" i="157"/>
  <c r="W55" i="157"/>
  <c r="S55" i="157"/>
  <c r="O55" i="157"/>
  <c r="J55" i="157"/>
  <c r="BW54" i="157"/>
  <c r="BS54" i="157"/>
  <c r="BO54" i="157"/>
  <c r="BK54" i="157"/>
  <c r="BG54" i="157"/>
  <c r="BC54" i="157"/>
  <c r="AY54" i="157"/>
  <c r="AU54" i="157"/>
  <c r="AQ54" i="157"/>
  <c r="AM54" i="157"/>
  <c r="AI54" i="157"/>
  <c r="AE54" i="157"/>
  <c r="AA54" i="157"/>
  <c r="W54" i="157"/>
  <c r="S54" i="157"/>
  <c r="O54" i="157"/>
  <c r="J54" i="157"/>
  <c r="BW53" i="157"/>
  <c r="BS53" i="157"/>
  <c r="BO53" i="157"/>
  <c r="BK53" i="157"/>
  <c r="BG53" i="157"/>
  <c r="BC53" i="157"/>
  <c r="AY53" i="157"/>
  <c r="AU53" i="157"/>
  <c r="AQ53" i="157"/>
  <c r="AM53" i="157"/>
  <c r="AI53" i="157"/>
  <c r="AE53" i="157"/>
  <c r="AA53" i="157"/>
  <c r="W53" i="157"/>
  <c r="S53" i="157"/>
  <c r="O53" i="157"/>
  <c r="J53" i="157"/>
  <c r="BW52" i="157"/>
  <c r="BS52" i="157"/>
  <c r="BO52" i="157"/>
  <c r="BK52" i="157"/>
  <c r="BG52" i="157"/>
  <c r="BC52" i="157"/>
  <c r="AY52" i="157"/>
  <c r="AU52" i="157"/>
  <c r="AQ52" i="157"/>
  <c r="AM52" i="157"/>
  <c r="AI52" i="157"/>
  <c r="AE52" i="157"/>
  <c r="AA52" i="157"/>
  <c r="W52" i="157"/>
  <c r="S52" i="157"/>
  <c r="O52" i="157"/>
  <c r="J52" i="157"/>
  <c r="BW51" i="157"/>
  <c r="BS51" i="157"/>
  <c r="BO51" i="157"/>
  <c r="BK51" i="157"/>
  <c r="BG51" i="157"/>
  <c r="BC51" i="157"/>
  <c r="AY51" i="157"/>
  <c r="AU51" i="157"/>
  <c r="AQ51" i="157"/>
  <c r="AM51" i="157"/>
  <c r="AI51" i="157"/>
  <c r="AE51" i="157"/>
  <c r="AA51" i="157"/>
  <c r="W51" i="157"/>
  <c r="S51" i="157"/>
  <c r="O51" i="157"/>
  <c r="J51" i="157"/>
  <c r="BW50" i="157"/>
  <c r="BS50" i="157"/>
  <c r="BO50" i="157"/>
  <c r="BK50" i="157"/>
  <c r="BG50" i="157"/>
  <c r="BC50" i="157"/>
  <c r="AY50" i="157"/>
  <c r="AU50" i="157"/>
  <c r="AQ50" i="157"/>
  <c r="AM50" i="157"/>
  <c r="AI50" i="157"/>
  <c r="AE50" i="157"/>
  <c r="AA50" i="157"/>
  <c r="W50" i="157"/>
  <c r="S50" i="157"/>
  <c r="O50" i="157"/>
  <c r="J50" i="157"/>
  <c r="BW49" i="157"/>
  <c r="BS49" i="157"/>
  <c r="BO49" i="157"/>
  <c r="BK49" i="157"/>
  <c r="BG49" i="157"/>
  <c r="BC49" i="157"/>
  <c r="AY49" i="157"/>
  <c r="AU49" i="157"/>
  <c r="AQ49" i="157"/>
  <c r="AM49" i="157"/>
  <c r="AI49" i="157"/>
  <c r="AE49" i="157"/>
  <c r="AA49" i="157"/>
  <c r="W49" i="157"/>
  <c r="S49" i="157"/>
  <c r="O49" i="157"/>
  <c r="J49" i="157"/>
  <c r="BW48" i="157"/>
  <c r="BS48" i="157"/>
  <c r="BO48" i="157"/>
  <c r="BK48" i="157"/>
  <c r="BG48" i="157"/>
  <c r="BC48" i="157"/>
  <c r="AY48" i="157"/>
  <c r="AU48" i="157"/>
  <c r="AQ48" i="157"/>
  <c r="AM48" i="157"/>
  <c r="AI48" i="157"/>
  <c r="AE48" i="157"/>
  <c r="AA48" i="157"/>
  <c r="W48" i="157"/>
  <c r="S48" i="157"/>
  <c r="O48" i="157"/>
  <c r="J48" i="157"/>
  <c r="BW47" i="157"/>
  <c r="BS47" i="157"/>
  <c r="BO47" i="157"/>
  <c r="BK47" i="157"/>
  <c r="BG47" i="157"/>
  <c r="BC47" i="157"/>
  <c r="AY47" i="157"/>
  <c r="AU47" i="157"/>
  <c r="AQ47" i="157"/>
  <c r="AM47" i="157"/>
  <c r="AI47" i="157"/>
  <c r="AE47" i="157"/>
  <c r="AA47" i="157"/>
  <c r="W47" i="157"/>
  <c r="S47" i="157"/>
  <c r="O47" i="157"/>
  <c r="J47" i="157"/>
  <c r="BW46" i="157"/>
  <c r="BS46" i="157"/>
  <c r="BO46" i="157"/>
  <c r="BK46" i="157"/>
  <c r="BG46" i="157"/>
  <c r="BC46" i="157"/>
  <c r="AY46" i="157"/>
  <c r="AU46" i="157"/>
  <c r="AQ46" i="157"/>
  <c r="AM46" i="157"/>
  <c r="AI46" i="157"/>
  <c r="AE46" i="157"/>
  <c r="AA46" i="157"/>
  <c r="W46" i="157"/>
  <c r="S46" i="157"/>
  <c r="O46" i="157"/>
  <c r="J46" i="157"/>
  <c r="BW45" i="157"/>
  <c r="BS45" i="157"/>
  <c r="BO45" i="157"/>
  <c r="BK45" i="157"/>
  <c r="BG45" i="157"/>
  <c r="BC45" i="157"/>
  <c r="AY45" i="157"/>
  <c r="AU45" i="157"/>
  <c r="AQ45" i="157"/>
  <c r="AM45" i="157"/>
  <c r="AI45" i="157"/>
  <c r="AE45" i="157"/>
  <c r="AA45" i="157"/>
  <c r="W45" i="157"/>
  <c r="S45" i="157"/>
  <c r="O45" i="157"/>
  <c r="J45" i="157"/>
  <c r="BW44" i="157"/>
  <c r="BS44" i="157"/>
  <c r="BO44" i="157"/>
  <c r="BK44" i="157"/>
  <c r="BG44" i="157"/>
  <c r="BC44" i="157"/>
  <c r="AY44" i="157"/>
  <c r="AU44" i="157"/>
  <c r="AQ44" i="157"/>
  <c r="AM44" i="157"/>
  <c r="AI44" i="157"/>
  <c r="AE44" i="157"/>
  <c r="AA44" i="157"/>
  <c r="W44" i="157"/>
  <c r="S44" i="157"/>
  <c r="O44" i="157"/>
  <c r="J44" i="157"/>
  <c r="BW43" i="157"/>
  <c r="BS43" i="157"/>
  <c r="BO43" i="157"/>
  <c r="BK43" i="157"/>
  <c r="BG43" i="157"/>
  <c r="BC43" i="157"/>
  <c r="AY43" i="157"/>
  <c r="AU43" i="157"/>
  <c r="AQ43" i="157"/>
  <c r="AM43" i="157"/>
  <c r="AI43" i="157"/>
  <c r="AE43" i="157"/>
  <c r="AA43" i="157"/>
  <c r="W43" i="157"/>
  <c r="S43" i="157"/>
  <c r="O43" i="157"/>
  <c r="J43" i="157"/>
  <c r="BW42" i="157"/>
  <c r="BS42" i="157"/>
  <c r="BO42" i="157"/>
  <c r="BK42" i="157"/>
  <c r="BG42" i="157"/>
  <c r="BC42" i="157"/>
  <c r="AY42" i="157"/>
  <c r="AU42" i="157"/>
  <c r="AQ42" i="157"/>
  <c r="AM42" i="157"/>
  <c r="AI42" i="157"/>
  <c r="AE42" i="157"/>
  <c r="AA42" i="157"/>
  <c r="W42" i="157"/>
  <c r="S42" i="157"/>
  <c r="O42" i="157"/>
  <c r="J42" i="157"/>
  <c r="BW41" i="157"/>
  <c r="BS41" i="157"/>
  <c r="BO41" i="157"/>
  <c r="BK41" i="157"/>
  <c r="BG41" i="157"/>
  <c r="BC41" i="157"/>
  <c r="AY41" i="157"/>
  <c r="AU41" i="157"/>
  <c r="AQ41" i="157"/>
  <c r="AM41" i="157"/>
  <c r="AI41" i="157"/>
  <c r="AE41" i="157"/>
  <c r="AA41" i="157"/>
  <c r="W41" i="157"/>
  <c r="S41" i="157"/>
  <c r="O41" i="157"/>
  <c r="J41" i="157"/>
  <c r="BW40" i="157"/>
  <c r="BS40" i="157"/>
  <c r="BO40" i="157"/>
  <c r="BK40" i="157"/>
  <c r="BG40" i="157"/>
  <c r="BC40" i="157"/>
  <c r="AY40" i="157"/>
  <c r="AU40" i="157"/>
  <c r="AQ40" i="157"/>
  <c r="AM40" i="157"/>
  <c r="AI40" i="157"/>
  <c r="AE40" i="157"/>
  <c r="AA40" i="157"/>
  <c r="W40" i="157"/>
  <c r="S40" i="157"/>
  <c r="O40" i="157"/>
  <c r="J40" i="157"/>
  <c r="BW39" i="157"/>
  <c r="BS39" i="157"/>
  <c r="BO39" i="157"/>
  <c r="BK39" i="157"/>
  <c r="BG39" i="157"/>
  <c r="BC39" i="157"/>
  <c r="AY39" i="157"/>
  <c r="AU39" i="157"/>
  <c r="AQ39" i="157"/>
  <c r="AM39" i="157"/>
  <c r="AI39" i="157"/>
  <c r="AE39" i="157"/>
  <c r="AA39" i="157"/>
  <c r="W39" i="157"/>
  <c r="S39" i="157"/>
  <c r="O39" i="157"/>
  <c r="J39" i="157"/>
  <c r="BW38" i="157"/>
  <c r="BS38" i="157"/>
  <c r="BO38" i="157"/>
  <c r="BK38" i="157"/>
  <c r="BG38" i="157"/>
  <c r="BC38" i="157"/>
  <c r="AY38" i="157"/>
  <c r="AU38" i="157"/>
  <c r="AQ38" i="157"/>
  <c r="AM38" i="157"/>
  <c r="AI38" i="157"/>
  <c r="AE38" i="157"/>
  <c r="AA38" i="157"/>
  <c r="W38" i="157"/>
  <c r="S38" i="157"/>
  <c r="O38" i="157"/>
  <c r="J38" i="157"/>
  <c r="BW37" i="157"/>
  <c r="BS37" i="157"/>
  <c r="BO37" i="157"/>
  <c r="BK37" i="157"/>
  <c r="BG37" i="157"/>
  <c r="BC37" i="157"/>
  <c r="AY37" i="157"/>
  <c r="AU37" i="157"/>
  <c r="AQ37" i="157"/>
  <c r="AM37" i="157"/>
  <c r="AI37" i="157"/>
  <c r="AE37" i="157"/>
  <c r="AA37" i="157"/>
  <c r="W37" i="157"/>
  <c r="S37" i="157"/>
  <c r="O37" i="157"/>
  <c r="J37" i="157"/>
  <c r="BW36" i="157"/>
  <c r="BS36" i="157"/>
  <c r="BO36" i="157"/>
  <c r="BK36" i="157"/>
  <c r="BG36" i="157"/>
  <c r="BC36" i="157"/>
  <c r="AY36" i="157"/>
  <c r="AU36" i="157"/>
  <c r="AQ36" i="157"/>
  <c r="AM36" i="157"/>
  <c r="AI36" i="157"/>
  <c r="AE36" i="157"/>
  <c r="AA36" i="157"/>
  <c r="W36" i="157"/>
  <c r="S36" i="157"/>
  <c r="O36" i="157"/>
  <c r="J36" i="157"/>
  <c r="BW35" i="157"/>
  <c r="BS35" i="157"/>
  <c r="BO35" i="157"/>
  <c r="BK35" i="157"/>
  <c r="BG35" i="157"/>
  <c r="BC35" i="157"/>
  <c r="AY35" i="157"/>
  <c r="AU35" i="157"/>
  <c r="AQ35" i="157"/>
  <c r="AM35" i="157"/>
  <c r="AI35" i="157"/>
  <c r="AE35" i="157"/>
  <c r="AA35" i="157"/>
  <c r="W35" i="157"/>
  <c r="S35" i="157"/>
  <c r="O35" i="157"/>
  <c r="J35" i="157"/>
  <c r="BW34" i="157"/>
  <c r="BS34" i="157"/>
  <c r="BO34" i="157"/>
  <c r="BK34" i="157"/>
  <c r="BG34" i="157"/>
  <c r="BC34" i="157"/>
  <c r="AY34" i="157"/>
  <c r="AU34" i="157"/>
  <c r="AQ34" i="157"/>
  <c r="AM34" i="157"/>
  <c r="AI34" i="157"/>
  <c r="AE34" i="157"/>
  <c r="AA34" i="157"/>
  <c r="W34" i="157"/>
  <c r="S34" i="157"/>
  <c r="O34" i="157"/>
  <c r="J34" i="157"/>
  <c r="BW33" i="157"/>
  <c r="BS33" i="157"/>
  <c r="BO33" i="157"/>
  <c r="BK33" i="157"/>
  <c r="BG33" i="157"/>
  <c r="BC33" i="157"/>
  <c r="AY33" i="157"/>
  <c r="AU33" i="157"/>
  <c r="AQ33" i="157"/>
  <c r="AM33" i="157"/>
  <c r="AI33" i="157"/>
  <c r="AE33" i="157"/>
  <c r="AA33" i="157"/>
  <c r="W33" i="157"/>
  <c r="S33" i="157"/>
  <c r="O33" i="157"/>
  <c r="J33" i="157"/>
  <c r="BW32" i="157"/>
  <c r="BS32" i="157"/>
  <c r="BO32" i="157"/>
  <c r="BK32" i="157"/>
  <c r="BG32" i="157"/>
  <c r="BC32" i="157"/>
  <c r="AY32" i="157"/>
  <c r="AU32" i="157"/>
  <c r="AQ32" i="157"/>
  <c r="AM32" i="157"/>
  <c r="AI32" i="157"/>
  <c r="AE32" i="157"/>
  <c r="AA32" i="157"/>
  <c r="W32" i="157"/>
  <c r="S32" i="157"/>
  <c r="O32" i="157"/>
  <c r="J32" i="157"/>
  <c r="BW31" i="157"/>
  <c r="BS31" i="157"/>
  <c r="BO31" i="157"/>
  <c r="BK31" i="157"/>
  <c r="BG31" i="157"/>
  <c r="BC31" i="157"/>
  <c r="AY31" i="157"/>
  <c r="AU31" i="157"/>
  <c r="AQ31" i="157"/>
  <c r="AM31" i="157"/>
  <c r="AI31" i="157"/>
  <c r="AE31" i="157"/>
  <c r="AA31" i="157"/>
  <c r="W31" i="157"/>
  <c r="S31" i="157"/>
  <c r="O31" i="157"/>
  <c r="J31" i="157"/>
  <c r="BW30" i="157"/>
  <c r="BS30" i="157"/>
  <c r="BO30" i="157"/>
  <c r="BK30" i="157"/>
  <c r="BG30" i="157"/>
  <c r="BC30" i="157"/>
  <c r="AY30" i="157"/>
  <c r="AU30" i="157"/>
  <c r="AQ30" i="157"/>
  <c r="AM30" i="157"/>
  <c r="AI30" i="157"/>
  <c r="AE30" i="157"/>
  <c r="AA30" i="157"/>
  <c r="W30" i="157"/>
  <c r="S30" i="157"/>
  <c r="O30" i="157"/>
  <c r="J30" i="157"/>
  <c r="BW29" i="157"/>
  <c r="BS29" i="157"/>
  <c r="BO29" i="157"/>
  <c r="BK29" i="157"/>
  <c r="BG29" i="157"/>
  <c r="BC29" i="157"/>
  <c r="AY29" i="157"/>
  <c r="AU29" i="157"/>
  <c r="AQ29" i="157"/>
  <c r="AM29" i="157"/>
  <c r="AI29" i="157"/>
  <c r="AE29" i="157"/>
  <c r="AA29" i="157"/>
  <c r="W29" i="157"/>
  <c r="S29" i="157"/>
  <c r="O29" i="157"/>
  <c r="J29" i="157"/>
  <c r="BW28" i="157"/>
  <c r="BS28" i="157"/>
  <c r="BO28" i="157"/>
  <c r="BK28" i="157"/>
  <c r="BG28" i="157"/>
  <c r="BC28" i="157"/>
  <c r="AY28" i="157"/>
  <c r="AU28" i="157"/>
  <c r="AQ28" i="157"/>
  <c r="AM28" i="157"/>
  <c r="AI28" i="157"/>
  <c r="AE28" i="157"/>
  <c r="AA28" i="157"/>
  <c r="W28" i="157"/>
  <c r="S28" i="157"/>
  <c r="O28" i="157"/>
  <c r="J28" i="157"/>
  <c r="BW27" i="157"/>
  <c r="BS27" i="157"/>
  <c r="BO27" i="157"/>
  <c r="BK27" i="157"/>
  <c r="BG27" i="157"/>
  <c r="BC27" i="157"/>
  <c r="AY27" i="157"/>
  <c r="AU27" i="157"/>
  <c r="AQ27" i="157"/>
  <c r="AM27" i="157"/>
  <c r="AI27" i="157"/>
  <c r="AE27" i="157"/>
  <c r="AA27" i="157"/>
  <c r="W27" i="157"/>
  <c r="S27" i="157"/>
  <c r="O27" i="157"/>
  <c r="J27" i="157"/>
  <c r="BW26" i="157"/>
  <c r="BS26" i="157"/>
  <c r="BO26" i="157"/>
  <c r="BK26" i="157"/>
  <c r="BG26" i="157"/>
  <c r="BC26" i="157"/>
  <c r="AY26" i="157"/>
  <c r="AU26" i="157"/>
  <c r="AQ26" i="157"/>
  <c r="AM26" i="157"/>
  <c r="AI26" i="157"/>
  <c r="AE26" i="157"/>
  <c r="AA26" i="157"/>
  <c r="W26" i="157"/>
  <c r="S26" i="157"/>
  <c r="O26" i="157"/>
  <c r="J26" i="157"/>
  <c r="BW25" i="157"/>
  <c r="BS25" i="157"/>
  <c r="BO25" i="157"/>
  <c r="BK25" i="157"/>
  <c r="BG25" i="157"/>
  <c r="BC25" i="157"/>
  <c r="AY25" i="157"/>
  <c r="AU25" i="157"/>
  <c r="AQ25" i="157"/>
  <c r="AM25" i="157"/>
  <c r="AI25" i="157"/>
  <c r="AE25" i="157"/>
  <c r="AA25" i="157"/>
  <c r="W25" i="157"/>
  <c r="S25" i="157"/>
  <c r="O25" i="157"/>
  <c r="J25" i="157"/>
  <c r="BW24" i="157"/>
  <c r="BS24" i="157"/>
  <c r="BO24" i="157"/>
  <c r="BK24" i="157"/>
  <c r="BG24" i="157"/>
  <c r="BC24" i="157"/>
  <c r="AY24" i="157"/>
  <c r="AU24" i="157"/>
  <c r="AQ24" i="157"/>
  <c r="AM24" i="157"/>
  <c r="AI24" i="157"/>
  <c r="AE24" i="157"/>
  <c r="AA24" i="157"/>
  <c r="W24" i="157"/>
  <c r="S24" i="157"/>
  <c r="O24" i="157"/>
  <c r="J24" i="157"/>
  <c r="BW23" i="157"/>
  <c r="BS23" i="157"/>
  <c r="BO23" i="157"/>
  <c r="BK23" i="157"/>
  <c r="BG23" i="157"/>
  <c r="BC23" i="157"/>
  <c r="AY23" i="157"/>
  <c r="AU23" i="157"/>
  <c r="AQ23" i="157"/>
  <c r="AM23" i="157"/>
  <c r="AI23" i="157"/>
  <c r="AE23" i="157"/>
  <c r="AA23" i="157"/>
  <c r="W23" i="157"/>
  <c r="S23" i="157"/>
  <c r="O23" i="157"/>
  <c r="J23" i="157"/>
  <c r="BW22" i="157"/>
  <c r="BS22" i="157"/>
  <c r="BO22" i="157"/>
  <c r="BK22" i="157"/>
  <c r="BG22" i="157"/>
  <c r="BC22" i="157"/>
  <c r="AY22" i="157"/>
  <c r="AU22" i="157"/>
  <c r="AQ22" i="157"/>
  <c r="AM22" i="157"/>
  <c r="AI22" i="157"/>
  <c r="AE22" i="157"/>
  <c r="AA22" i="157"/>
  <c r="W22" i="157"/>
  <c r="S22" i="157"/>
  <c r="O22" i="157"/>
  <c r="J22" i="157"/>
  <c r="BW21" i="157"/>
  <c r="BS21" i="157"/>
  <c r="BO21" i="157"/>
  <c r="BK21" i="157"/>
  <c r="BG21" i="157"/>
  <c r="BC21" i="157"/>
  <c r="AY21" i="157"/>
  <c r="AU21" i="157"/>
  <c r="AQ21" i="157"/>
  <c r="AM21" i="157"/>
  <c r="AI21" i="157"/>
  <c r="AE21" i="157"/>
  <c r="AA21" i="157"/>
  <c r="W21" i="157"/>
  <c r="S21" i="157"/>
  <c r="O21" i="157"/>
  <c r="J21" i="157"/>
  <c r="BW20" i="157"/>
  <c r="BS20" i="157"/>
  <c r="BO20" i="157"/>
  <c r="BK20" i="157"/>
  <c r="BG20" i="157"/>
  <c r="BC20" i="157"/>
  <c r="AY20" i="157"/>
  <c r="AU20" i="157"/>
  <c r="AQ20" i="157"/>
  <c r="AM20" i="157"/>
  <c r="AI20" i="157"/>
  <c r="AE20" i="157"/>
  <c r="AA20" i="157"/>
  <c r="W20" i="157"/>
  <c r="S20" i="157"/>
  <c r="O20" i="157"/>
  <c r="J20" i="157"/>
  <c r="BW19" i="157"/>
  <c r="BS19" i="157"/>
  <c r="BO19" i="157"/>
  <c r="BK19" i="157"/>
  <c r="BG19" i="157"/>
  <c r="BC19" i="157"/>
  <c r="AY19" i="157"/>
  <c r="AU19" i="157"/>
  <c r="AQ19" i="157"/>
  <c r="AM19" i="157"/>
  <c r="AI19" i="157"/>
  <c r="AE19" i="157"/>
  <c r="AA19" i="157"/>
  <c r="W19" i="157"/>
  <c r="S19" i="157"/>
  <c r="O19" i="157"/>
  <c r="J19" i="157"/>
  <c r="BW18" i="157"/>
  <c r="BS18" i="157"/>
  <c r="BO18" i="157"/>
  <c r="BK18" i="157"/>
  <c r="BG18" i="157"/>
  <c r="BC18" i="157"/>
  <c r="AY18" i="157"/>
  <c r="AU18" i="157"/>
  <c r="AQ18" i="157"/>
  <c r="AM18" i="157"/>
  <c r="AI18" i="157"/>
  <c r="AE18" i="157"/>
  <c r="AA18" i="157"/>
  <c r="W18" i="157"/>
  <c r="S18" i="157"/>
  <c r="O18" i="157"/>
  <c r="J18" i="157"/>
  <c r="BW17" i="157"/>
  <c r="BS17" i="157"/>
  <c r="BO17" i="157"/>
  <c r="BK17" i="157"/>
  <c r="BG17" i="157"/>
  <c r="BC17" i="157"/>
  <c r="AY17" i="157"/>
  <c r="AU17" i="157"/>
  <c r="AQ17" i="157"/>
  <c r="AM17" i="157"/>
  <c r="AI17" i="157"/>
  <c r="AE17" i="157"/>
  <c r="AA17" i="157"/>
  <c r="W17" i="157"/>
  <c r="S17" i="157"/>
  <c r="O17" i="157"/>
  <c r="J17" i="157"/>
  <c r="BW16" i="157"/>
  <c r="BS16" i="157"/>
  <c r="BO16" i="157"/>
  <c r="BK16" i="157"/>
  <c r="BG16" i="157"/>
  <c r="BC16" i="157"/>
  <c r="AY16" i="157"/>
  <c r="AU16" i="157"/>
  <c r="AQ16" i="157"/>
  <c r="AM16" i="157"/>
  <c r="AI16" i="157"/>
  <c r="AE16" i="157"/>
  <c r="AA16" i="157"/>
  <c r="W16" i="157"/>
  <c r="S16" i="157"/>
  <c r="O16" i="157"/>
  <c r="J16" i="157"/>
  <c r="BW15" i="157"/>
  <c r="BS15" i="157"/>
  <c r="BO15" i="157"/>
  <c r="BK15" i="157"/>
  <c r="BG15" i="157"/>
  <c r="BC15" i="157"/>
  <c r="AY15" i="157"/>
  <c r="AU15" i="157"/>
  <c r="AQ15" i="157"/>
  <c r="AM15" i="157"/>
  <c r="AI15" i="157"/>
  <c r="AE15" i="157"/>
  <c r="AA15" i="157"/>
  <c r="W15" i="157"/>
  <c r="S15" i="157"/>
  <c r="O15" i="157"/>
  <c r="J15" i="157"/>
  <c r="BW14" i="157"/>
  <c r="BS14" i="157"/>
  <c r="BO14" i="157"/>
  <c r="BK14" i="157"/>
  <c r="BG14" i="157"/>
  <c r="BC14" i="157"/>
  <c r="AY14" i="157"/>
  <c r="AU14" i="157"/>
  <c r="AQ14" i="157"/>
  <c r="AM14" i="157"/>
  <c r="AI14" i="157"/>
  <c r="AE14" i="157"/>
  <c r="AA14" i="157"/>
  <c r="W14" i="157"/>
  <c r="S14" i="157"/>
  <c r="O14" i="157"/>
  <c r="J14" i="157"/>
  <c r="BW13" i="157"/>
  <c r="BS13" i="157"/>
  <c r="BO13" i="157"/>
  <c r="BK13" i="157"/>
  <c r="BG13" i="157"/>
  <c r="BC13" i="157"/>
  <c r="AY13" i="157"/>
  <c r="AU13" i="157"/>
  <c r="AQ13" i="157"/>
  <c r="AM13" i="157"/>
  <c r="AI13" i="157"/>
  <c r="AE13" i="157"/>
  <c r="AA13" i="157"/>
  <c r="W13" i="157"/>
  <c r="S13" i="157"/>
  <c r="O13" i="157"/>
  <c r="J13" i="157"/>
  <c r="BW12" i="157"/>
  <c r="BS12" i="157"/>
  <c r="BO12" i="157"/>
  <c r="BK12" i="157"/>
  <c r="BG12" i="157"/>
  <c r="BC12" i="157"/>
  <c r="AY12" i="157"/>
  <c r="AU12" i="157"/>
  <c r="AQ12" i="157"/>
  <c r="AM12" i="157"/>
  <c r="AI12" i="157"/>
  <c r="AE12" i="157"/>
  <c r="AA12" i="157"/>
  <c r="W12" i="157"/>
  <c r="S12" i="157"/>
  <c r="O12" i="157"/>
  <c r="J12" i="157"/>
  <c r="BW11" i="157"/>
  <c r="BS11" i="157"/>
  <c r="BO11" i="157"/>
  <c r="BK11" i="157"/>
  <c r="BG11" i="157"/>
  <c r="BC11" i="157"/>
  <c r="AY11" i="157"/>
  <c r="AU11" i="157"/>
  <c r="AQ11" i="157"/>
  <c r="AM11" i="157"/>
  <c r="AI11" i="157"/>
  <c r="AE11" i="157"/>
  <c r="AA11" i="157"/>
  <c r="W11" i="157"/>
  <c r="S11" i="157"/>
  <c r="O11" i="157"/>
  <c r="J11" i="157"/>
  <c r="BW10" i="157"/>
  <c r="BS10" i="157"/>
  <c r="BO10" i="157"/>
  <c r="BK10" i="157"/>
  <c r="BG10" i="157"/>
  <c r="BC10" i="157"/>
  <c r="AY10" i="157"/>
  <c r="AU10" i="157"/>
  <c r="AQ10" i="157"/>
  <c r="AM10" i="157"/>
  <c r="AI10" i="157"/>
  <c r="AE10" i="157"/>
  <c r="AA10" i="157"/>
  <c r="W10" i="157"/>
  <c r="S10" i="157"/>
  <c r="O10" i="157"/>
  <c r="J10" i="157"/>
  <c r="BW9" i="157"/>
  <c r="BS9" i="157"/>
  <c r="BO9" i="157"/>
  <c r="BK9" i="157"/>
  <c r="BG9" i="157"/>
  <c r="BC9" i="157"/>
  <c r="AY9" i="157"/>
  <c r="AU9" i="157"/>
  <c r="AQ9" i="157"/>
  <c r="AM9" i="157"/>
  <c r="AI9" i="157"/>
  <c r="AE9" i="157"/>
  <c r="AA9" i="157"/>
  <c r="W9" i="157"/>
  <c r="S9" i="157"/>
  <c r="O9" i="157"/>
  <c r="J9" i="157"/>
  <c r="BW8" i="157"/>
  <c r="BS8" i="157"/>
  <c r="BO8" i="157"/>
  <c r="BK8" i="157"/>
  <c r="BG8" i="157"/>
  <c r="BC8" i="157"/>
  <c r="AY8" i="157"/>
  <c r="AU8" i="157"/>
  <c r="AQ8" i="157"/>
  <c r="AM8" i="157"/>
  <c r="AI8" i="157"/>
  <c r="AE8" i="157"/>
  <c r="AA8" i="157"/>
  <c r="W8" i="157"/>
  <c r="S8" i="157"/>
  <c r="O8" i="157"/>
  <c r="J8" i="157"/>
  <c r="BW7" i="157"/>
  <c r="BS7" i="157"/>
  <c r="BO7" i="157"/>
  <c r="BK7" i="157"/>
  <c r="BG7" i="157"/>
  <c r="BC7" i="157"/>
  <c r="AY7" i="157"/>
  <c r="AU7" i="157"/>
  <c r="AQ7" i="157"/>
  <c r="AM7" i="157"/>
  <c r="AI7" i="157"/>
  <c r="AE7" i="157"/>
  <c r="AA7" i="157"/>
  <c r="W7" i="157"/>
  <c r="S7" i="157"/>
  <c r="O7" i="157"/>
  <c r="J7" i="157"/>
  <c r="BU6" i="157"/>
  <c r="BS6" i="157"/>
  <c r="BR6" i="157"/>
  <c r="BJ6" i="157"/>
  <c r="BK6" i="157" s="1"/>
  <c r="BI6" i="157"/>
  <c r="BH6" i="157"/>
  <c r="BG6" i="157"/>
  <c r="BF6" i="157"/>
  <c r="BC6" i="157"/>
  <c r="BB6" i="157"/>
  <c r="BA6" i="157"/>
  <c r="AW6" i="157"/>
  <c r="AT6" i="157"/>
  <c r="AU6" i="157" s="1"/>
  <c r="AL6" i="157"/>
  <c r="AM6" i="157" s="1"/>
  <c r="AK6" i="157"/>
  <c r="AJ6" i="157"/>
  <c r="AH6" i="157"/>
  <c r="AI6" i="157" s="1"/>
  <c r="AE6" i="157"/>
  <c r="AD6" i="157"/>
  <c r="AC6" i="157"/>
  <c r="Z6" i="157"/>
  <c r="AA6" i="157" s="1"/>
  <c r="Y6" i="157"/>
  <c r="V6" i="157"/>
  <c r="W6" i="157" s="1"/>
  <c r="N6" i="157"/>
  <c r="O6" i="157" s="1"/>
  <c r="M6" i="157"/>
  <c r="L6" i="157"/>
  <c r="BT5" i="157"/>
  <c r="BW5" i="157" s="1"/>
  <c r="BD5" i="157"/>
  <c r="BG5" i="157" s="1"/>
  <c r="BC5" i="157"/>
  <c r="AZ5" i="157"/>
  <c r="AV5" i="157"/>
  <c r="AY5" i="157" s="1"/>
  <c r="AE5" i="157"/>
  <c r="AB5" i="157"/>
  <c r="X5" i="157"/>
  <c r="AA5" i="157" s="1"/>
  <c r="BS4" i="157"/>
  <c r="BT4" i="157" s="1"/>
  <c r="BP4" i="157"/>
  <c r="BO4" i="157"/>
  <c r="BQ6" i="157" s="1"/>
  <c r="BK4" i="157"/>
  <c r="BN6" i="157" s="1"/>
  <c r="BO6" i="157" s="1"/>
  <c r="BG4" i="157"/>
  <c r="BH4" i="157" s="1"/>
  <c r="BD4" i="157"/>
  <c r="BC4" i="157"/>
  <c r="BE6" i="157" s="1"/>
  <c r="AZ4" i="157"/>
  <c r="AY4" i="157"/>
  <c r="AZ6" i="157" s="1"/>
  <c r="AU4" i="157"/>
  <c r="AV4" i="157" s="1"/>
  <c r="AR4" i="157"/>
  <c r="AQ4" i="157"/>
  <c r="AS6" i="157" s="1"/>
  <c r="AM4" i="157"/>
  <c r="AP6" i="157" s="1"/>
  <c r="AQ6" i="157" s="1"/>
  <c r="AI4" i="157"/>
  <c r="AJ4" i="157" s="1"/>
  <c r="AF4" i="157"/>
  <c r="AE4" i="157"/>
  <c r="AG6" i="157" s="1"/>
  <c r="AB4" i="157"/>
  <c r="AA4" i="157"/>
  <c r="AB6" i="157" s="1"/>
  <c r="W4" i="157"/>
  <c r="X4" i="157" s="1"/>
  <c r="T4" i="157"/>
  <c r="S4" i="157"/>
  <c r="U6" i="157" s="1"/>
  <c r="O4" i="157"/>
  <c r="R6" i="157" s="1"/>
  <c r="S6" i="157" s="1"/>
  <c r="K4" i="157"/>
  <c r="L4" i="157" s="1"/>
  <c r="J4" i="157"/>
  <c r="BT3" i="157"/>
  <c r="BP3" i="157"/>
  <c r="BL3" i="157"/>
  <c r="BH3" i="157"/>
  <c r="BD3" i="157"/>
  <c r="AZ3" i="157"/>
  <c r="AV3" i="157"/>
  <c r="AR3" i="157"/>
  <c r="AN3" i="157"/>
  <c r="AJ3" i="157"/>
  <c r="AF3" i="157"/>
  <c r="AB3" i="157"/>
  <c r="X3" i="157"/>
  <c r="T3" i="157"/>
  <c r="P3" i="157"/>
  <c r="L3" i="157"/>
  <c r="J3" i="157"/>
  <c r="J2" i="157"/>
  <c r="F1" i="157"/>
  <c r="BW82" i="156"/>
  <c r="BS82" i="156"/>
  <c r="BO82" i="156"/>
  <c r="BK82" i="156"/>
  <c r="BG82" i="156"/>
  <c r="BC82" i="156"/>
  <c r="AY82" i="156"/>
  <c r="AU82" i="156"/>
  <c r="AQ82" i="156"/>
  <c r="AM82" i="156"/>
  <c r="AI82" i="156"/>
  <c r="AE82" i="156"/>
  <c r="AA82" i="156"/>
  <c r="W82" i="156"/>
  <c r="S82" i="156"/>
  <c r="O82" i="156"/>
  <c r="J82" i="156"/>
  <c r="BW81" i="156"/>
  <c r="BS81" i="156"/>
  <c r="BO81" i="156"/>
  <c r="BK81" i="156"/>
  <c r="BG81" i="156"/>
  <c r="BC81" i="156"/>
  <c r="AY81" i="156"/>
  <c r="AU81" i="156"/>
  <c r="AQ81" i="156"/>
  <c r="AM81" i="156"/>
  <c r="AI81" i="156"/>
  <c r="AE81" i="156"/>
  <c r="AA81" i="156"/>
  <c r="W81" i="156"/>
  <c r="S81" i="156"/>
  <c r="O81" i="156"/>
  <c r="J81" i="156"/>
  <c r="BW80" i="156"/>
  <c r="BS80" i="156"/>
  <c r="BO80" i="156"/>
  <c r="BK80" i="156"/>
  <c r="BG80" i="156"/>
  <c r="BC80" i="156"/>
  <c r="AY80" i="156"/>
  <c r="AU80" i="156"/>
  <c r="AQ80" i="156"/>
  <c r="AM80" i="156"/>
  <c r="AI80" i="156"/>
  <c r="AE80" i="156"/>
  <c r="AA80" i="156"/>
  <c r="W80" i="156"/>
  <c r="S80" i="156"/>
  <c r="O80" i="156"/>
  <c r="J80" i="156"/>
  <c r="BW79" i="156"/>
  <c r="BS79" i="156"/>
  <c r="BO79" i="156"/>
  <c r="BK79" i="156"/>
  <c r="BG79" i="156"/>
  <c r="BC79" i="156"/>
  <c r="AY79" i="156"/>
  <c r="AU79" i="156"/>
  <c r="AQ79" i="156"/>
  <c r="AM79" i="156"/>
  <c r="AI79" i="156"/>
  <c r="AE79" i="156"/>
  <c r="AA79" i="156"/>
  <c r="W79" i="156"/>
  <c r="S79" i="156"/>
  <c r="O79" i="156"/>
  <c r="J79" i="156"/>
  <c r="BW78" i="156"/>
  <c r="BS78" i="156"/>
  <c r="BO78" i="156"/>
  <c r="BK78" i="156"/>
  <c r="BG78" i="156"/>
  <c r="BC78" i="156"/>
  <c r="AY78" i="156"/>
  <c r="AU78" i="156"/>
  <c r="AQ78" i="156"/>
  <c r="AM78" i="156"/>
  <c r="AI78" i="156"/>
  <c r="AE78" i="156"/>
  <c r="AA78" i="156"/>
  <c r="W78" i="156"/>
  <c r="S78" i="156"/>
  <c r="O78" i="156"/>
  <c r="J78" i="156"/>
  <c r="BW77" i="156"/>
  <c r="BS77" i="156"/>
  <c r="BO77" i="156"/>
  <c r="BK77" i="156"/>
  <c r="BG77" i="156"/>
  <c r="BC77" i="156"/>
  <c r="AY77" i="156"/>
  <c r="AU77" i="156"/>
  <c r="AQ77" i="156"/>
  <c r="AM77" i="156"/>
  <c r="AI77" i="156"/>
  <c r="AE77" i="156"/>
  <c r="AA77" i="156"/>
  <c r="W77" i="156"/>
  <c r="S77" i="156"/>
  <c r="O77" i="156"/>
  <c r="J77" i="156"/>
  <c r="BW76" i="156"/>
  <c r="BS76" i="156"/>
  <c r="BO76" i="156"/>
  <c r="BK76" i="156"/>
  <c r="BG76" i="156"/>
  <c r="BC76" i="156"/>
  <c r="AY76" i="156"/>
  <c r="AU76" i="156"/>
  <c r="AQ76" i="156"/>
  <c r="AM76" i="156"/>
  <c r="AI76" i="156"/>
  <c r="AE76" i="156"/>
  <c r="AA76" i="156"/>
  <c r="W76" i="156"/>
  <c r="S76" i="156"/>
  <c r="O76" i="156"/>
  <c r="J76" i="156"/>
  <c r="BW75" i="156"/>
  <c r="BS75" i="156"/>
  <c r="BO75" i="156"/>
  <c r="BK75" i="156"/>
  <c r="BG75" i="156"/>
  <c r="BC75" i="156"/>
  <c r="AY75" i="156"/>
  <c r="AU75" i="156"/>
  <c r="AQ75" i="156"/>
  <c r="AM75" i="156"/>
  <c r="AI75" i="156"/>
  <c r="AE75" i="156"/>
  <c r="AA75" i="156"/>
  <c r="W75" i="156"/>
  <c r="S75" i="156"/>
  <c r="O75" i="156"/>
  <c r="J75" i="156"/>
  <c r="BW74" i="156"/>
  <c r="BS74" i="156"/>
  <c r="BO74" i="156"/>
  <c r="BK74" i="156"/>
  <c r="BG74" i="156"/>
  <c r="BC74" i="156"/>
  <c r="AY74" i="156"/>
  <c r="AU74" i="156"/>
  <c r="AQ74" i="156"/>
  <c r="AM74" i="156"/>
  <c r="AI74" i="156"/>
  <c r="AE74" i="156"/>
  <c r="AA74" i="156"/>
  <c r="W74" i="156"/>
  <c r="S74" i="156"/>
  <c r="O74" i="156"/>
  <c r="J74" i="156"/>
  <c r="BW73" i="156"/>
  <c r="BS73" i="156"/>
  <c r="BO73" i="156"/>
  <c r="BK73" i="156"/>
  <c r="BG73" i="156"/>
  <c r="BC73" i="156"/>
  <c r="AY73" i="156"/>
  <c r="AU73" i="156"/>
  <c r="AQ73" i="156"/>
  <c r="AM73" i="156"/>
  <c r="AI73" i="156"/>
  <c r="AE73" i="156"/>
  <c r="AA73" i="156"/>
  <c r="W73" i="156"/>
  <c r="S73" i="156"/>
  <c r="O73" i="156"/>
  <c r="J73" i="156"/>
  <c r="BW72" i="156"/>
  <c r="BS72" i="156"/>
  <c r="BO72" i="156"/>
  <c r="BK72" i="156"/>
  <c r="BG72" i="156"/>
  <c r="BC72" i="156"/>
  <c r="AY72" i="156"/>
  <c r="AU72" i="156"/>
  <c r="AQ72" i="156"/>
  <c r="AM72" i="156"/>
  <c r="AI72" i="156"/>
  <c r="AE72" i="156"/>
  <c r="AA72" i="156"/>
  <c r="W72" i="156"/>
  <c r="S72" i="156"/>
  <c r="O72" i="156"/>
  <c r="J72" i="156"/>
  <c r="BW71" i="156"/>
  <c r="BS71" i="156"/>
  <c r="BO71" i="156"/>
  <c r="BK71" i="156"/>
  <c r="BG71" i="156"/>
  <c r="BC71" i="156"/>
  <c r="AY71" i="156"/>
  <c r="AU71" i="156"/>
  <c r="AQ71" i="156"/>
  <c r="AM71" i="156"/>
  <c r="AI71" i="156"/>
  <c r="AE71" i="156"/>
  <c r="AA71" i="156"/>
  <c r="W71" i="156"/>
  <c r="S71" i="156"/>
  <c r="O71" i="156"/>
  <c r="J71" i="156"/>
  <c r="BW70" i="156"/>
  <c r="BS70" i="156"/>
  <c r="BO70" i="156"/>
  <c r="BK70" i="156"/>
  <c r="BG70" i="156"/>
  <c r="BC70" i="156"/>
  <c r="AY70" i="156"/>
  <c r="AU70" i="156"/>
  <c r="AQ70" i="156"/>
  <c r="AM70" i="156"/>
  <c r="AI70" i="156"/>
  <c r="AE70" i="156"/>
  <c r="AA70" i="156"/>
  <c r="W70" i="156"/>
  <c r="S70" i="156"/>
  <c r="O70" i="156"/>
  <c r="J70" i="156"/>
  <c r="BW69" i="156"/>
  <c r="BS69" i="156"/>
  <c r="BO69" i="156"/>
  <c r="BK69" i="156"/>
  <c r="BG69" i="156"/>
  <c r="BC69" i="156"/>
  <c r="AY69" i="156"/>
  <c r="AU69" i="156"/>
  <c r="AQ69" i="156"/>
  <c r="AM69" i="156"/>
  <c r="AI69" i="156"/>
  <c r="AE69" i="156"/>
  <c r="AA69" i="156"/>
  <c r="W69" i="156"/>
  <c r="S69" i="156"/>
  <c r="O69" i="156"/>
  <c r="J69" i="156"/>
  <c r="BW68" i="156"/>
  <c r="BS68" i="156"/>
  <c r="BO68" i="156"/>
  <c r="BK68" i="156"/>
  <c r="BG68" i="156"/>
  <c r="BC68" i="156"/>
  <c r="AY68" i="156"/>
  <c r="AU68" i="156"/>
  <c r="AQ68" i="156"/>
  <c r="AM68" i="156"/>
  <c r="AI68" i="156"/>
  <c r="AE68" i="156"/>
  <c r="AA68" i="156"/>
  <c r="W68" i="156"/>
  <c r="S68" i="156"/>
  <c r="O68" i="156"/>
  <c r="J68" i="156"/>
  <c r="BW67" i="156"/>
  <c r="BS67" i="156"/>
  <c r="BO67" i="156"/>
  <c r="BK67" i="156"/>
  <c r="BG67" i="156"/>
  <c r="BC67" i="156"/>
  <c r="AY67" i="156"/>
  <c r="AU67" i="156"/>
  <c r="AQ67" i="156"/>
  <c r="AM67" i="156"/>
  <c r="AI67" i="156"/>
  <c r="AE67" i="156"/>
  <c r="AA67" i="156"/>
  <c r="W67" i="156"/>
  <c r="S67" i="156"/>
  <c r="O67" i="156"/>
  <c r="J67" i="156"/>
  <c r="BW66" i="156"/>
  <c r="BS66" i="156"/>
  <c r="BO66" i="156"/>
  <c r="BK66" i="156"/>
  <c r="BG66" i="156"/>
  <c r="BC66" i="156"/>
  <c r="AY66" i="156"/>
  <c r="AU66" i="156"/>
  <c r="AQ66" i="156"/>
  <c r="AM66" i="156"/>
  <c r="AI66" i="156"/>
  <c r="AE66" i="156"/>
  <c r="AA66" i="156"/>
  <c r="W66" i="156"/>
  <c r="S66" i="156"/>
  <c r="O66" i="156"/>
  <c r="J66" i="156"/>
  <c r="BW65" i="156"/>
  <c r="BS65" i="156"/>
  <c r="BO65" i="156"/>
  <c r="BK65" i="156"/>
  <c r="BG65" i="156"/>
  <c r="BC65" i="156"/>
  <c r="AY65" i="156"/>
  <c r="AU65" i="156"/>
  <c r="AQ65" i="156"/>
  <c r="AM65" i="156"/>
  <c r="AI65" i="156"/>
  <c r="AE65" i="156"/>
  <c r="AA65" i="156"/>
  <c r="W65" i="156"/>
  <c r="S65" i="156"/>
  <c r="O65" i="156"/>
  <c r="J65" i="156"/>
  <c r="BW64" i="156"/>
  <c r="BS64" i="156"/>
  <c r="BO64" i="156"/>
  <c r="BK64" i="156"/>
  <c r="BG64" i="156"/>
  <c r="BC64" i="156"/>
  <c r="AY64" i="156"/>
  <c r="AU64" i="156"/>
  <c r="AQ64" i="156"/>
  <c r="AM64" i="156"/>
  <c r="AI64" i="156"/>
  <c r="AE64" i="156"/>
  <c r="AA64" i="156"/>
  <c r="W64" i="156"/>
  <c r="S64" i="156"/>
  <c r="O64" i="156"/>
  <c r="J64" i="156"/>
  <c r="BW63" i="156"/>
  <c r="BS63" i="156"/>
  <c r="BO63" i="156"/>
  <c r="BK63" i="156"/>
  <c r="BG63" i="156"/>
  <c r="BC63" i="156"/>
  <c r="AY63" i="156"/>
  <c r="AU63" i="156"/>
  <c r="AQ63" i="156"/>
  <c r="AM63" i="156"/>
  <c r="AI63" i="156"/>
  <c r="AE63" i="156"/>
  <c r="AA63" i="156"/>
  <c r="W63" i="156"/>
  <c r="S63" i="156"/>
  <c r="O63" i="156"/>
  <c r="J63" i="156"/>
  <c r="BW62" i="156"/>
  <c r="BS62" i="156"/>
  <c r="BO62" i="156"/>
  <c r="BK62" i="156"/>
  <c r="BG62" i="156"/>
  <c r="BC62" i="156"/>
  <c r="AY62" i="156"/>
  <c r="AU62" i="156"/>
  <c r="AQ62" i="156"/>
  <c r="AM62" i="156"/>
  <c r="AI62" i="156"/>
  <c r="AE62" i="156"/>
  <c r="AA62" i="156"/>
  <c r="W62" i="156"/>
  <c r="S62" i="156"/>
  <c r="O62" i="156"/>
  <c r="J62" i="156"/>
  <c r="BW61" i="156"/>
  <c r="BS61" i="156"/>
  <c r="BO61" i="156"/>
  <c r="BK61" i="156"/>
  <c r="BG61" i="156"/>
  <c r="BC61" i="156"/>
  <c r="AY61" i="156"/>
  <c r="AU61" i="156"/>
  <c r="AQ61" i="156"/>
  <c r="AM61" i="156"/>
  <c r="AI61" i="156"/>
  <c r="AE61" i="156"/>
  <c r="AA61" i="156"/>
  <c r="W61" i="156"/>
  <c r="S61" i="156"/>
  <c r="O61" i="156"/>
  <c r="J61" i="156"/>
  <c r="BW60" i="156"/>
  <c r="BS60" i="156"/>
  <c r="BO60" i="156"/>
  <c r="BK60" i="156"/>
  <c r="BG60" i="156"/>
  <c r="BC60" i="156"/>
  <c r="AY60" i="156"/>
  <c r="AU60" i="156"/>
  <c r="AQ60" i="156"/>
  <c r="AM60" i="156"/>
  <c r="AI60" i="156"/>
  <c r="AE60" i="156"/>
  <c r="AA60" i="156"/>
  <c r="W60" i="156"/>
  <c r="S60" i="156"/>
  <c r="O60" i="156"/>
  <c r="J60" i="156"/>
  <c r="BW59" i="156"/>
  <c r="BS59" i="156"/>
  <c r="BO59" i="156"/>
  <c r="BK59" i="156"/>
  <c r="BG59" i="156"/>
  <c r="BC59" i="156"/>
  <c r="AY59" i="156"/>
  <c r="AU59" i="156"/>
  <c r="AQ59" i="156"/>
  <c r="AM59" i="156"/>
  <c r="AI59" i="156"/>
  <c r="AE59" i="156"/>
  <c r="AA59" i="156"/>
  <c r="W59" i="156"/>
  <c r="S59" i="156"/>
  <c r="O59" i="156"/>
  <c r="J59" i="156"/>
  <c r="BW58" i="156"/>
  <c r="BS58" i="156"/>
  <c r="BO58" i="156"/>
  <c r="BK58" i="156"/>
  <c r="BG58" i="156"/>
  <c r="BC58" i="156"/>
  <c r="AY58" i="156"/>
  <c r="AU58" i="156"/>
  <c r="AQ58" i="156"/>
  <c r="AM58" i="156"/>
  <c r="AI58" i="156"/>
  <c r="AE58" i="156"/>
  <c r="AA58" i="156"/>
  <c r="W58" i="156"/>
  <c r="S58" i="156"/>
  <c r="O58" i="156"/>
  <c r="J58" i="156"/>
  <c r="BW57" i="156"/>
  <c r="BS57" i="156"/>
  <c r="BO57" i="156"/>
  <c r="BK57" i="156"/>
  <c r="BG57" i="156"/>
  <c r="BC57" i="156"/>
  <c r="AY57" i="156"/>
  <c r="AU57" i="156"/>
  <c r="AQ57" i="156"/>
  <c r="AM57" i="156"/>
  <c r="AI57" i="156"/>
  <c r="AE57" i="156"/>
  <c r="AA57" i="156"/>
  <c r="W57" i="156"/>
  <c r="S57" i="156"/>
  <c r="O57" i="156"/>
  <c r="J57" i="156"/>
  <c r="BW56" i="156"/>
  <c r="BS56" i="156"/>
  <c r="BO56" i="156"/>
  <c r="BK56" i="156"/>
  <c r="BG56" i="156"/>
  <c r="BC56" i="156"/>
  <c r="AY56" i="156"/>
  <c r="AU56" i="156"/>
  <c r="AQ56" i="156"/>
  <c r="AM56" i="156"/>
  <c r="AI56" i="156"/>
  <c r="AE56" i="156"/>
  <c r="AA56" i="156"/>
  <c r="W56" i="156"/>
  <c r="S56" i="156"/>
  <c r="O56" i="156"/>
  <c r="J56" i="156"/>
  <c r="BW55" i="156"/>
  <c r="BS55" i="156"/>
  <c r="BO55" i="156"/>
  <c r="BK55" i="156"/>
  <c r="BG55" i="156"/>
  <c r="BC55" i="156"/>
  <c r="AY55" i="156"/>
  <c r="AU55" i="156"/>
  <c r="AQ55" i="156"/>
  <c r="AM55" i="156"/>
  <c r="AI55" i="156"/>
  <c r="AE55" i="156"/>
  <c r="AA55" i="156"/>
  <c r="W55" i="156"/>
  <c r="S55" i="156"/>
  <c r="O55" i="156"/>
  <c r="J55" i="156"/>
  <c r="BW54" i="156"/>
  <c r="BS54" i="156"/>
  <c r="BO54" i="156"/>
  <c r="BK54" i="156"/>
  <c r="BG54" i="156"/>
  <c r="BC54" i="156"/>
  <c r="AY54" i="156"/>
  <c r="AU54" i="156"/>
  <c r="AQ54" i="156"/>
  <c r="AM54" i="156"/>
  <c r="AI54" i="156"/>
  <c r="AE54" i="156"/>
  <c r="AA54" i="156"/>
  <c r="W54" i="156"/>
  <c r="S54" i="156"/>
  <c r="O54" i="156"/>
  <c r="J54" i="156"/>
  <c r="BW53" i="156"/>
  <c r="BS53" i="156"/>
  <c r="BO53" i="156"/>
  <c r="BK53" i="156"/>
  <c r="BG53" i="156"/>
  <c r="BC53" i="156"/>
  <c r="AY53" i="156"/>
  <c r="AU53" i="156"/>
  <c r="AQ53" i="156"/>
  <c r="AM53" i="156"/>
  <c r="AI53" i="156"/>
  <c r="AE53" i="156"/>
  <c r="AA53" i="156"/>
  <c r="W53" i="156"/>
  <c r="S53" i="156"/>
  <c r="O53" i="156"/>
  <c r="J53" i="156"/>
  <c r="BW52" i="156"/>
  <c r="BS52" i="156"/>
  <c r="BO52" i="156"/>
  <c r="BK52" i="156"/>
  <c r="BG52" i="156"/>
  <c r="BC52" i="156"/>
  <c r="AY52" i="156"/>
  <c r="AU52" i="156"/>
  <c r="AQ52" i="156"/>
  <c r="AM52" i="156"/>
  <c r="AI52" i="156"/>
  <c r="AE52" i="156"/>
  <c r="AA52" i="156"/>
  <c r="W52" i="156"/>
  <c r="S52" i="156"/>
  <c r="O52" i="156"/>
  <c r="J52" i="156"/>
  <c r="BW51" i="156"/>
  <c r="BS51" i="156"/>
  <c r="BO51" i="156"/>
  <c r="BK51" i="156"/>
  <c r="BG51" i="156"/>
  <c r="BC51" i="156"/>
  <c r="AY51" i="156"/>
  <c r="AU51" i="156"/>
  <c r="AQ51" i="156"/>
  <c r="AM51" i="156"/>
  <c r="AI51" i="156"/>
  <c r="AE51" i="156"/>
  <c r="AA51" i="156"/>
  <c r="W51" i="156"/>
  <c r="S51" i="156"/>
  <c r="O51" i="156"/>
  <c r="J51" i="156"/>
  <c r="BW50" i="156"/>
  <c r="BS50" i="156"/>
  <c r="BO50" i="156"/>
  <c r="BK50" i="156"/>
  <c r="BG50" i="156"/>
  <c r="BC50" i="156"/>
  <c r="AY50" i="156"/>
  <c r="AU50" i="156"/>
  <c r="AQ50" i="156"/>
  <c r="AM50" i="156"/>
  <c r="AI50" i="156"/>
  <c r="AE50" i="156"/>
  <c r="AA50" i="156"/>
  <c r="W50" i="156"/>
  <c r="S50" i="156"/>
  <c r="O50" i="156"/>
  <c r="J50" i="156"/>
  <c r="BW49" i="156"/>
  <c r="BS49" i="156"/>
  <c r="BO49" i="156"/>
  <c r="BK49" i="156"/>
  <c r="BG49" i="156"/>
  <c r="BC49" i="156"/>
  <c r="AY49" i="156"/>
  <c r="AU49" i="156"/>
  <c r="AQ49" i="156"/>
  <c r="AM49" i="156"/>
  <c r="AI49" i="156"/>
  <c r="AE49" i="156"/>
  <c r="AA49" i="156"/>
  <c r="W49" i="156"/>
  <c r="S49" i="156"/>
  <c r="O49" i="156"/>
  <c r="J49" i="156"/>
  <c r="BW48" i="156"/>
  <c r="BS48" i="156"/>
  <c r="BO48" i="156"/>
  <c r="BK48" i="156"/>
  <c r="BG48" i="156"/>
  <c r="BC48" i="156"/>
  <c r="AY48" i="156"/>
  <c r="AU48" i="156"/>
  <c r="AQ48" i="156"/>
  <c r="AM48" i="156"/>
  <c r="AI48" i="156"/>
  <c r="AE48" i="156"/>
  <c r="AA48" i="156"/>
  <c r="W48" i="156"/>
  <c r="S48" i="156"/>
  <c r="O48" i="156"/>
  <c r="J48" i="156"/>
  <c r="BW47" i="156"/>
  <c r="BS47" i="156"/>
  <c r="BO47" i="156"/>
  <c r="BK47" i="156"/>
  <c r="BG47" i="156"/>
  <c r="BC47" i="156"/>
  <c r="AY47" i="156"/>
  <c r="AU47" i="156"/>
  <c r="AQ47" i="156"/>
  <c r="AM47" i="156"/>
  <c r="AI47" i="156"/>
  <c r="AE47" i="156"/>
  <c r="AA47" i="156"/>
  <c r="W47" i="156"/>
  <c r="S47" i="156"/>
  <c r="O47" i="156"/>
  <c r="J47" i="156"/>
  <c r="BW46" i="156"/>
  <c r="BS46" i="156"/>
  <c r="BO46" i="156"/>
  <c r="BK46" i="156"/>
  <c r="BG46" i="156"/>
  <c r="BC46" i="156"/>
  <c r="AY46" i="156"/>
  <c r="AU46" i="156"/>
  <c r="AQ46" i="156"/>
  <c r="AM46" i="156"/>
  <c r="AI46" i="156"/>
  <c r="AE46" i="156"/>
  <c r="AA46" i="156"/>
  <c r="W46" i="156"/>
  <c r="S46" i="156"/>
  <c r="O46" i="156"/>
  <c r="J46" i="156"/>
  <c r="BW45" i="156"/>
  <c r="BS45" i="156"/>
  <c r="BO45" i="156"/>
  <c r="BK45" i="156"/>
  <c r="BG45" i="156"/>
  <c r="BC45" i="156"/>
  <c r="AY45" i="156"/>
  <c r="AU45" i="156"/>
  <c r="AQ45" i="156"/>
  <c r="AM45" i="156"/>
  <c r="AI45" i="156"/>
  <c r="AE45" i="156"/>
  <c r="AA45" i="156"/>
  <c r="W45" i="156"/>
  <c r="S45" i="156"/>
  <c r="O45" i="156"/>
  <c r="J45" i="156"/>
  <c r="BW44" i="156"/>
  <c r="BS44" i="156"/>
  <c r="BO44" i="156"/>
  <c r="BK44" i="156"/>
  <c r="BG44" i="156"/>
  <c r="BC44" i="156"/>
  <c r="AY44" i="156"/>
  <c r="AU44" i="156"/>
  <c r="AQ44" i="156"/>
  <c r="AM44" i="156"/>
  <c r="AI44" i="156"/>
  <c r="AE44" i="156"/>
  <c r="AA44" i="156"/>
  <c r="W44" i="156"/>
  <c r="S44" i="156"/>
  <c r="O44" i="156"/>
  <c r="J44" i="156"/>
  <c r="BW43" i="156"/>
  <c r="BS43" i="156"/>
  <c r="BO43" i="156"/>
  <c r="BK43" i="156"/>
  <c r="BG43" i="156"/>
  <c r="BC43" i="156"/>
  <c r="AY43" i="156"/>
  <c r="AU43" i="156"/>
  <c r="AQ43" i="156"/>
  <c r="AM43" i="156"/>
  <c r="AI43" i="156"/>
  <c r="AE43" i="156"/>
  <c r="AA43" i="156"/>
  <c r="W43" i="156"/>
  <c r="S43" i="156"/>
  <c r="O43" i="156"/>
  <c r="J43" i="156"/>
  <c r="BW42" i="156"/>
  <c r="BS42" i="156"/>
  <c r="BO42" i="156"/>
  <c r="BK42" i="156"/>
  <c r="BG42" i="156"/>
  <c r="BC42" i="156"/>
  <c r="AY42" i="156"/>
  <c r="AU42" i="156"/>
  <c r="AQ42" i="156"/>
  <c r="AM42" i="156"/>
  <c r="AI42" i="156"/>
  <c r="AE42" i="156"/>
  <c r="AA42" i="156"/>
  <c r="W42" i="156"/>
  <c r="S42" i="156"/>
  <c r="O42" i="156"/>
  <c r="J42" i="156"/>
  <c r="BW41" i="156"/>
  <c r="BS41" i="156"/>
  <c r="BO41" i="156"/>
  <c r="BK41" i="156"/>
  <c r="BG41" i="156"/>
  <c r="BC41" i="156"/>
  <c r="AY41" i="156"/>
  <c r="AU41" i="156"/>
  <c r="AQ41" i="156"/>
  <c r="AM41" i="156"/>
  <c r="AI41" i="156"/>
  <c r="AE41" i="156"/>
  <c r="AA41" i="156"/>
  <c r="W41" i="156"/>
  <c r="S41" i="156"/>
  <c r="O41" i="156"/>
  <c r="J41" i="156"/>
  <c r="BW40" i="156"/>
  <c r="BS40" i="156"/>
  <c r="BO40" i="156"/>
  <c r="BK40" i="156"/>
  <c r="BG40" i="156"/>
  <c r="BC40" i="156"/>
  <c r="AY40" i="156"/>
  <c r="AU40" i="156"/>
  <c r="AQ40" i="156"/>
  <c r="AM40" i="156"/>
  <c r="AI40" i="156"/>
  <c r="AE40" i="156"/>
  <c r="AA40" i="156"/>
  <c r="W40" i="156"/>
  <c r="S40" i="156"/>
  <c r="O40" i="156"/>
  <c r="J40" i="156"/>
  <c r="BW39" i="156"/>
  <c r="BS39" i="156"/>
  <c r="BO39" i="156"/>
  <c r="BK39" i="156"/>
  <c r="BG39" i="156"/>
  <c r="BC39" i="156"/>
  <c r="AY39" i="156"/>
  <c r="AU39" i="156"/>
  <c r="AQ39" i="156"/>
  <c r="AM39" i="156"/>
  <c r="AI39" i="156"/>
  <c r="AE39" i="156"/>
  <c r="AA39" i="156"/>
  <c r="W39" i="156"/>
  <c r="S39" i="156"/>
  <c r="O39" i="156"/>
  <c r="J39" i="156"/>
  <c r="BW38" i="156"/>
  <c r="BS38" i="156"/>
  <c r="BO38" i="156"/>
  <c r="BK38" i="156"/>
  <c r="BG38" i="156"/>
  <c r="BC38" i="156"/>
  <c r="AY38" i="156"/>
  <c r="AU38" i="156"/>
  <c r="AQ38" i="156"/>
  <c r="AM38" i="156"/>
  <c r="AI38" i="156"/>
  <c r="AE38" i="156"/>
  <c r="AA38" i="156"/>
  <c r="W38" i="156"/>
  <c r="S38" i="156"/>
  <c r="O38" i="156"/>
  <c r="J38" i="156"/>
  <c r="BW37" i="156"/>
  <c r="BS37" i="156"/>
  <c r="BO37" i="156"/>
  <c r="BK37" i="156"/>
  <c r="BG37" i="156"/>
  <c r="BC37" i="156"/>
  <c r="AY37" i="156"/>
  <c r="AU37" i="156"/>
  <c r="AQ37" i="156"/>
  <c r="AM37" i="156"/>
  <c r="AI37" i="156"/>
  <c r="AE37" i="156"/>
  <c r="AA37" i="156"/>
  <c r="W37" i="156"/>
  <c r="S37" i="156"/>
  <c r="O37" i="156"/>
  <c r="J37" i="156"/>
  <c r="BW36" i="156"/>
  <c r="BS36" i="156"/>
  <c r="BO36" i="156"/>
  <c r="BK36" i="156"/>
  <c r="BG36" i="156"/>
  <c r="BC36" i="156"/>
  <c r="AY36" i="156"/>
  <c r="AU36" i="156"/>
  <c r="AQ36" i="156"/>
  <c r="AM36" i="156"/>
  <c r="AI36" i="156"/>
  <c r="AE36" i="156"/>
  <c r="AA36" i="156"/>
  <c r="W36" i="156"/>
  <c r="S36" i="156"/>
  <c r="O36" i="156"/>
  <c r="J36" i="156"/>
  <c r="BW35" i="156"/>
  <c r="BS35" i="156"/>
  <c r="BO35" i="156"/>
  <c r="BK35" i="156"/>
  <c r="BG35" i="156"/>
  <c r="BC35" i="156"/>
  <c r="AY35" i="156"/>
  <c r="AU35" i="156"/>
  <c r="AQ35" i="156"/>
  <c r="AM35" i="156"/>
  <c r="AI35" i="156"/>
  <c r="AE35" i="156"/>
  <c r="AA35" i="156"/>
  <c r="W35" i="156"/>
  <c r="S35" i="156"/>
  <c r="O35" i="156"/>
  <c r="J35" i="156"/>
  <c r="BW34" i="156"/>
  <c r="BS34" i="156"/>
  <c r="BO34" i="156"/>
  <c r="BK34" i="156"/>
  <c r="BG34" i="156"/>
  <c r="BC34" i="156"/>
  <c r="AY34" i="156"/>
  <c r="AU34" i="156"/>
  <c r="AQ34" i="156"/>
  <c r="AM34" i="156"/>
  <c r="AI34" i="156"/>
  <c r="AE34" i="156"/>
  <c r="AA34" i="156"/>
  <c r="W34" i="156"/>
  <c r="S34" i="156"/>
  <c r="O34" i="156"/>
  <c r="J34" i="156"/>
  <c r="BW33" i="156"/>
  <c r="BS33" i="156"/>
  <c r="BO33" i="156"/>
  <c r="BK33" i="156"/>
  <c r="BG33" i="156"/>
  <c r="BC33" i="156"/>
  <c r="AY33" i="156"/>
  <c r="AU33" i="156"/>
  <c r="AQ33" i="156"/>
  <c r="AM33" i="156"/>
  <c r="AI33" i="156"/>
  <c r="AE33" i="156"/>
  <c r="AA33" i="156"/>
  <c r="W33" i="156"/>
  <c r="S33" i="156"/>
  <c r="O33" i="156"/>
  <c r="J33" i="156"/>
  <c r="BW32" i="156"/>
  <c r="BS32" i="156"/>
  <c r="BO32" i="156"/>
  <c r="BK32" i="156"/>
  <c r="BG32" i="156"/>
  <c r="BC32" i="156"/>
  <c r="AY32" i="156"/>
  <c r="AU32" i="156"/>
  <c r="AQ32" i="156"/>
  <c r="AM32" i="156"/>
  <c r="AI32" i="156"/>
  <c r="AE32" i="156"/>
  <c r="AA32" i="156"/>
  <c r="W32" i="156"/>
  <c r="S32" i="156"/>
  <c r="O32" i="156"/>
  <c r="J32" i="156"/>
  <c r="BW31" i="156"/>
  <c r="BS31" i="156"/>
  <c r="BO31" i="156"/>
  <c r="BK31" i="156"/>
  <c r="BG31" i="156"/>
  <c r="BC31" i="156"/>
  <c r="AY31" i="156"/>
  <c r="AU31" i="156"/>
  <c r="AQ31" i="156"/>
  <c r="AM31" i="156"/>
  <c r="AI31" i="156"/>
  <c r="AE31" i="156"/>
  <c r="AA31" i="156"/>
  <c r="W31" i="156"/>
  <c r="S31" i="156"/>
  <c r="O31" i="156"/>
  <c r="J31" i="156"/>
  <c r="BW30" i="156"/>
  <c r="BS30" i="156"/>
  <c r="BO30" i="156"/>
  <c r="BK30" i="156"/>
  <c r="BG30" i="156"/>
  <c r="BC30" i="156"/>
  <c r="AY30" i="156"/>
  <c r="AU30" i="156"/>
  <c r="AQ30" i="156"/>
  <c r="AM30" i="156"/>
  <c r="AI30" i="156"/>
  <c r="AE30" i="156"/>
  <c r="AA30" i="156"/>
  <c r="W30" i="156"/>
  <c r="S30" i="156"/>
  <c r="O30" i="156"/>
  <c r="J30" i="156"/>
  <c r="BW29" i="156"/>
  <c r="BS29" i="156"/>
  <c r="BO29" i="156"/>
  <c r="BK29" i="156"/>
  <c r="BG29" i="156"/>
  <c r="BC29" i="156"/>
  <c r="AY29" i="156"/>
  <c r="AU29" i="156"/>
  <c r="AQ29" i="156"/>
  <c r="AM29" i="156"/>
  <c r="AI29" i="156"/>
  <c r="AE29" i="156"/>
  <c r="AA29" i="156"/>
  <c r="W29" i="156"/>
  <c r="S29" i="156"/>
  <c r="O29" i="156"/>
  <c r="J29" i="156"/>
  <c r="BW28" i="156"/>
  <c r="BS28" i="156"/>
  <c r="BO28" i="156"/>
  <c r="BK28" i="156"/>
  <c r="BG28" i="156"/>
  <c r="BC28" i="156"/>
  <c r="AY28" i="156"/>
  <c r="AU28" i="156"/>
  <c r="AQ28" i="156"/>
  <c r="AM28" i="156"/>
  <c r="AI28" i="156"/>
  <c r="AE28" i="156"/>
  <c r="AA28" i="156"/>
  <c r="W28" i="156"/>
  <c r="S28" i="156"/>
  <c r="O28" i="156"/>
  <c r="J28" i="156"/>
  <c r="BW27" i="156"/>
  <c r="BS27" i="156"/>
  <c r="BO27" i="156"/>
  <c r="BK27" i="156"/>
  <c r="BG27" i="156"/>
  <c r="BC27" i="156"/>
  <c r="AY27" i="156"/>
  <c r="AU27" i="156"/>
  <c r="AQ27" i="156"/>
  <c r="AM27" i="156"/>
  <c r="AI27" i="156"/>
  <c r="AE27" i="156"/>
  <c r="AA27" i="156"/>
  <c r="W27" i="156"/>
  <c r="S27" i="156"/>
  <c r="O27" i="156"/>
  <c r="J27" i="156"/>
  <c r="BW26" i="156"/>
  <c r="BS26" i="156"/>
  <c r="BO26" i="156"/>
  <c r="BK26" i="156"/>
  <c r="BG26" i="156"/>
  <c r="BC26" i="156"/>
  <c r="AY26" i="156"/>
  <c r="AU26" i="156"/>
  <c r="AQ26" i="156"/>
  <c r="AM26" i="156"/>
  <c r="AI26" i="156"/>
  <c r="AE26" i="156"/>
  <c r="AA26" i="156"/>
  <c r="W26" i="156"/>
  <c r="S26" i="156"/>
  <c r="O26" i="156"/>
  <c r="J26" i="156"/>
  <c r="BW25" i="156"/>
  <c r="BS25" i="156"/>
  <c r="BO25" i="156"/>
  <c r="BK25" i="156"/>
  <c r="BG25" i="156"/>
  <c r="BC25" i="156"/>
  <c r="AY25" i="156"/>
  <c r="AU25" i="156"/>
  <c r="AQ25" i="156"/>
  <c r="AM25" i="156"/>
  <c r="AI25" i="156"/>
  <c r="AE25" i="156"/>
  <c r="AA25" i="156"/>
  <c r="W25" i="156"/>
  <c r="S25" i="156"/>
  <c r="O25" i="156"/>
  <c r="J25" i="156"/>
  <c r="BW24" i="156"/>
  <c r="BS24" i="156"/>
  <c r="BO24" i="156"/>
  <c r="BK24" i="156"/>
  <c r="BG24" i="156"/>
  <c r="BC24" i="156"/>
  <c r="AY24" i="156"/>
  <c r="AU24" i="156"/>
  <c r="AQ24" i="156"/>
  <c r="AM24" i="156"/>
  <c r="AI24" i="156"/>
  <c r="AE24" i="156"/>
  <c r="AA24" i="156"/>
  <c r="W24" i="156"/>
  <c r="S24" i="156"/>
  <c r="O24" i="156"/>
  <c r="J24" i="156"/>
  <c r="BW23" i="156"/>
  <c r="BS23" i="156"/>
  <c r="BO23" i="156"/>
  <c r="BK23" i="156"/>
  <c r="BG23" i="156"/>
  <c r="BC23" i="156"/>
  <c r="AY23" i="156"/>
  <c r="AU23" i="156"/>
  <c r="AQ23" i="156"/>
  <c r="AM23" i="156"/>
  <c r="AI23" i="156"/>
  <c r="AE23" i="156"/>
  <c r="AA23" i="156"/>
  <c r="W23" i="156"/>
  <c r="S23" i="156"/>
  <c r="O23" i="156"/>
  <c r="J23" i="156"/>
  <c r="BW22" i="156"/>
  <c r="BS22" i="156"/>
  <c r="BO22" i="156"/>
  <c r="BK22" i="156"/>
  <c r="BG22" i="156"/>
  <c r="BC22" i="156"/>
  <c r="AY22" i="156"/>
  <c r="AU22" i="156"/>
  <c r="AQ22" i="156"/>
  <c r="AM22" i="156"/>
  <c r="AI22" i="156"/>
  <c r="AE22" i="156"/>
  <c r="AA22" i="156"/>
  <c r="W22" i="156"/>
  <c r="S22" i="156"/>
  <c r="O22" i="156"/>
  <c r="J22" i="156"/>
  <c r="BW21" i="156"/>
  <c r="BS21" i="156"/>
  <c r="BO21" i="156"/>
  <c r="BK21" i="156"/>
  <c r="BG21" i="156"/>
  <c r="BC21" i="156"/>
  <c r="AY21" i="156"/>
  <c r="AU21" i="156"/>
  <c r="AQ21" i="156"/>
  <c r="AM21" i="156"/>
  <c r="AI21" i="156"/>
  <c r="AE21" i="156"/>
  <c r="AA21" i="156"/>
  <c r="W21" i="156"/>
  <c r="S21" i="156"/>
  <c r="O21" i="156"/>
  <c r="J21" i="156"/>
  <c r="BW20" i="156"/>
  <c r="BS20" i="156"/>
  <c r="BO20" i="156"/>
  <c r="BK20" i="156"/>
  <c r="BG20" i="156"/>
  <c r="BC20" i="156"/>
  <c r="AY20" i="156"/>
  <c r="AU20" i="156"/>
  <c r="AQ20" i="156"/>
  <c r="AM20" i="156"/>
  <c r="AI20" i="156"/>
  <c r="AE20" i="156"/>
  <c r="AA20" i="156"/>
  <c r="W20" i="156"/>
  <c r="S20" i="156"/>
  <c r="O20" i="156"/>
  <c r="J20" i="156"/>
  <c r="BW19" i="156"/>
  <c r="BS19" i="156"/>
  <c r="BO19" i="156"/>
  <c r="BK19" i="156"/>
  <c r="BG19" i="156"/>
  <c r="BC19" i="156"/>
  <c r="AY19" i="156"/>
  <c r="AU19" i="156"/>
  <c r="AQ19" i="156"/>
  <c r="AM19" i="156"/>
  <c r="AI19" i="156"/>
  <c r="AE19" i="156"/>
  <c r="AA19" i="156"/>
  <c r="W19" i="156"/>
  <c r="S19" i="156"/>
  <c r="O19" i="156"/>
  <c r="J19" i="156"/>
  <c r="BW18" i="156"/>
  <c r="BS18" i="156"/>
  <c r="BO18" i="156"/>
  <c r="BK18" i="156"/>
  <c r="BG18" i="156"/>
  <c r="BC18" i="156"/>
  <c r="AY18" i="156"/>
  <c r="AU18" i="156"/>
  <c r="AQ18" i="156"/>
  <c r="AM18" i="156"/>
  <c r="AI18" i="156"/>
  <c r="AE18" i="156"/>
  <c r="AA18" i="156"/>
  <c r="W18" i="156"/>
  <c r="S18" i="156"/>
  <c r="O18" i="156"/>
  <c r="J18" i="156"/>
  <c r="BW17" i="156"/>
  <c r="BS17" i="156"/>
  <c r="BO17" i="156"/>
  <c r="BK17" i="156"/>
  <c r="BG17" i="156"/>
  <c r="BC17" i="156"/>
  <c r="AY17" i="156"/>
  <c r="AU17" i="156"/>
  <c r="AQ17" i="156"/>
  <c r="AM17" i="156"/>
  <c r="AI17" i="156"/>
  <c r="AE17" i="156"/>
  <c r="AA17" i="156"/>
  <c r="W17" i="156"/>
  <c r="S17" i="156"/>
  <c r="O17" i="156"/>
  <c r="J17" i="156"/>
  <c r="BW16" i="156"/>
  <c r="BS16" i="156"/>
  <c r="BO16" i="156"/>
  <c r="BK16" i="156"/>
  <c r="BG16" i="156"/>
  <c r="BC16" i="156"/>
  <c r="AY16" i="156"/>
  <c r="AU16" i="156"/>
  <c r="AQ16" i="156"/>
  <c r="AM16" i="156"/>
  <c r="AI16" i="156"/>
  <c r="AE16" i="156"/>
  <c r="AA16" i="156"/>
  <c r="W16" i="156"/>
  <c r="S16" i="156"/>
  <c r="O16" i="156"/>
  <c r="J16" i="156"/>
  <c r="BW15" i="156"/>
  <c r="BS15" i="156"/>
  <c r="BO15" i="156"/>
  <c r="BK15" i="156"/>
  <c r="BG15" i="156"/>
  <c r="BC15" i="156"/>
  <c r="AY15" i="156"/>
  <c r="AU15" i="156"/>
  <c r="AQ15" i="156"/>
  <c r="AM15" i="156"/>
  <c r="AI15" i="156"/>
  <c r="AE15" i="156"/>
  <c r="AA15" i="156"/>
  <c r="W15" i="156"/>
  <c r="S15" i="156"/>
  <c r="O15" i="156"/>
  <c r="J15" i="156"/>
  <c r="BW14" i="156"/>
  <c r="BS14" i="156"/>
  <c r="BO14" i="156"/>
  <c r="BK14" i="156"/>
  <c r="BG14" i="156"/>
  <c r="BC14" i="156"/>
  <c r="AY14" i="156"/>
  <c r="AU14" i="156"/>
  <c r="AQ14" i="156"/>
  <c r="AM14" i="156"/>
  <c r="AI14" i="156"/>
  <c r="AE14" i="156"/>
  <c r="AA14" i="156"/>
  <c r="W14" i="156"/>
  <c r="S14" i="156"/>
  <c r="O14" i="156"/>
  <c r="J14" i="156"/>
  <c r="BW13" i="156"/>
  <c r="BS13" i="156"/>
  <c r="BO13" i="156"/>
  <c r="BK13" i="156"/>
  <c r="BG13" i="156"/>
  <c r="BC13" i="156"/>
  <c r="AY13" i="156"/>
  <c r="AU13" i="156"/>
  <c r="AQ13" i="156"/>
  <c r="AM13" i="156"/>
  <c r="AI13" i="156"/>
  <c r="AE13" i="156"/>
  <c r="AA13" i="156"/>
  <c r="W13" i="156"/>
  <c r="S13" i="156"/>
  <c r="O13" i="156"/>
  <c r="J13" i="156"/>
  <c r="BW12" i="156"/>
  <c r="BS12" i="156"/>
  <c r="BO12" i="156"/>
  <c r="BK12" i="156"/>
  <c r="BG12" i="156"/>
  <c r="BC12" i="156"/>
  <c r="AY12" i="156"/>
  <c r="AU12" i="156"/>
  <c r="AQ12" i="156"/>
  <c r="AM12" i="156"/>
  <c r="AI12" i="156"/>
  <c r="AE12" i="156"/>
  <c r="AA12" i="156"/>
  <c r="W12" i="156"/>
  <c r="S12" i="156"/>
  <c r="O12" i="156"/>
  <c r="J12" i="156"/>
  <c r="BW11" i="156"/>
  <c r="BS11" i="156"/>
  <c r="BO11" i="156"/>
  <c r="BK11" i="156"/>
  <c r="BG11" i="156"/>
  <c r="BC11" i="156"/>
  <c r="AY11" i="156"/>
  <c r="AU11" i="156"/>
  <c r="AQ11" i="156"/>
  <c r="AM11" i="156"/>
  <c r="AI11" i="156"/>
  <c r="AE11" i="156"/>
  <c r="AA11" i="156"/>
  <c r="W11" i="156"/>
  <c r="S11" i="156"/>
  <c r="O11" i="156"/>
  <c r="J11" i="156"/>
  <c r="BW10" i="156"/>
  <c r="BS10" i="156"/>
  <c r="BO10" i="156"/>
  <c r="BK10" i="156"/>
  <c r="BG10" i="156"/>
  <c r="BC10" i="156"/>
  <c r="AY10" i="156"/>
  <c r="AU10" i="156"/>
  <c r="AQ10" i="156"/>
  <c r="AM10" i="156"/>
  <c r="AI10" i="156"/>
  <c r="AE10" i="156"/>
  <c r="AA10" i="156"/>
  <c r="W10" i="156"/>
  <c r="S10" i="156"/>
  <c r="O10" i="156"/>
  <c r="J10" i="156"/>
  <c r="BW9" i="156"/>
  <c r="BS9" i="156"/>
  <c r="BO9" i="156"/>
  <c r="BK9" i="156"/>
  <c r="BG9" i="156"/>
  <c r="BC9" i="156"/>
  <c r="AY9" i="156"/>
  <c r="AU9" i="156"/>
  <c r="AQ9" i="156"/>
  <c r="AM9" i="156"/>
  <c r="AI9" i="156"/>
  <c r="AE9" i="156"/>
  <c r="AA9" i="156"/>
  <c r="W9" i="156"/>
  <c r="S9" i="156"/>
  <c r="O9" i="156"/>
  <c r="J9" i="156"/>
  <c r="BW8" i="156"/>
  <c r="BS8" i="156"/>
  <c r="BO8" i="156"/>
  <c r="BK8" i="156"/>
  <c r="BG8" i="156"/>
  <c r="BC8" i="156"/>
  <c r="AY8" i="156"/>
  <c r="AU8" i="156"/>
  <c r="AQ8" i="156"/>
  <c r="AM8" i="156"/>
  <c r="AI8" i="156"/>
  <c r="AE8" i="156"/>
  <c r="AA8" i="156"/>
  <c r="W8" i="156"/>
  <c r="S8" i="156"/>
  <c r="O8" i="156"/>
  <c r="J8" i="156"/>
  <c r="BW7" i="156"/>
  <c r="BS7" i="156"/>
  <c r="BO7" i="156"/>
  <c r="BK7" i="156"/>
  <c r="BG7" i="156"/>
  <c r="BC7" i="156"/>
  <c r="AY7" i="156"/>
  <c r="AU7" i="156"/>
  <c r="AQ7" i="156"/>
  <c r="AM7" i="156"/>
  <c r="AI7" i="156"/>
  <c r="AE7" i="156"/>
  <c r="AA7" i="156"/>
  <c r="W7" i="156"/>
  <c r="S7" i="156"/>
  <c r="O7" i="156"/>
  <c r="J7" i="156"/>
  <c r="BN6" i="156"/>
  <c r="BO6" i="156" s="1"/>
  <c r="BM6" i="156"/>
  <c r="BL6" i="156"/>
  <c r="BJ6" i="156"/>
  <c r="BK6" i="156" s="1"/>
  <c r="BI6" i="156"/>
  <c r="BH6" i="156"/>
  <c r="AP6" i="156"/>
  <c r="AQ6" i="156" s="1"/>
  <c r="AO6" i="156"/>
  <c r="AN6" i="156"/>
  <c r="AL6" i="156"/>
  <c r="AM6" i="156" s="1"/>
  <c r="AK6" i="156"/>
  <c r="AJ6" i="156"/>
  <c r="R6" i="156"/>
  <c r="S6" i="156" s="1"/>
  <c r="Q6" i="156"/>
  <c r="P6" i="156"/>
  <c r="N6" i="156"/>
  <c r="O6" i="156" s="1"/>
  <c r="M6" i="156"/>
  <c r="L6" i="156"/>
  <c r="BL5" i="156"/>
  <c r="BO5" i="156" s="1"/>
  <c r="BH5" i="156"/>
  <c r="BK5" i="156" s="1"/>
  <c r="BD5" i="156"/>
  <c r="BG5" i="156" s="1"/>
  <c r="AN5" i="156"/>
  <c r="AQ5" i="156" s="1"/>
  <c r="AJ5" i="156"/>
  <c r="AM5" i="156" s="1"/>
  <c r="AF5" i="156"/>
  <c r="AI5" i="156" s="1"/>
  <c r="P5" i="156"/>
  <c r="S5" i="156" s="1"/>
  <c r="L5" i="156"/>
  <c r="O5" i="156" s="1"/>
  <c r="BS4" i="156"/>
  <c r="BT5" i="156" s="1"/>
  <c r="BW5" i="156" s="1"/>
  <c r="BO4" i="156"/>
  <c r="BR6" i="156" s="1"/>
  <c r="BS6" i="156" s="1"/>
  <c r="BL4" i="156"/>
  <c r="BK4" i="156"/>
  <c r="BH4" i="156"/>
  <c r="BG4" i="156"/>
  <c r="BC4" i="156"/>
  <c r="BF6" i="156" s="1"/>
  <c r="BG6" i="156" s="1"/>
  <c r="AY4" i="156"/>
  <c r="BB6" i="156" s="1"/>
  <c r="BC6" i="156" s="1"/>
  <c r="AU4" i="156"/>
  <c r="AV5" i="156" s="1"/>
  <c r="AY5" i="156" s="1"/>
  <c r="AQ4" i="156"/>
  <c r="AT6" i="156" s="1"/>
  <c r="AU6" i="156" s="1"/>
  <c r="AN4" i="156"/>
  <c r="AM4" i="156"/>
  <c r="AJ4" i="156"/>
  <c r="AI4" i="156"/>
  <c r="AE4" i="156"/>
  <c r="AH6" i="156" s="1"/>
  <c r="AI6" i="156" s="1"/>
  <c r="AA4" i="156"/>
  <c r="AC6" i="156" s="1"/>
  <c r="W4" i="156"/>
  <c r="X5" i="156" s="1"/>
  <c r="AA5" i="156" s="1"/>
  <c r="S4" i="156"/>
  <c r="V6" i="156" s="1"/>
  <c r="W6" i="156" s="1"/>
  <c r="P4" i="156"/>
  <c r="O4" i="156"/>
  <c r="L4" i="156"/>
  <c r="K4" i="156"/>
  <c r="J4" i="156"/>
  <c r="BT3" i="156"/>
  <c r="BP3" i="156"/>
  <c r="BL3" i="156"/>
  <c r="BH3" i="156"/>
  <c r="BD3" i="156"/>
  <c r="AZ3" i="156"/>
  <c r="AV3" i="156"/>
  <c r="AR3" i="156"/>
  <c r="AN3" i="156"/>
  <c r="AJ3" i="156"/>
  <c r="AF3" i="156"/>
  <c r="AB3" i="156"/>
  <c r="X3" i="156"/>
  <c r="T3" i="156"/>
  <c r="P3" i="156"/>
  <c r="L3" i="156"/>
  <c r="J3" i="156"/>
  <c r="J2" i="156"/>
  <c r="F1" i="156"/>
  <c r="BW82" i="155"/>
  <c r="BS82" i="155"/>
  <c r="BO82" i="155"/>
  <c r="BK82" i="155"/>
  <c r="BG82" i="155"/>
  <c r="BC82" i="155"/>
  <c r="AY82" i="155"/>
  <c r="AU82" i="155"/>
  <c r="AQ82" i="155"/>
  <c r="AM82" i="155"/>
  <c r="AI82" i="155"/>
  <c r="AE82" i="155"/>
  <c r="AA82" i="155"/>
  <c r="W82" i="155"/>
  <c r="S82" i="155"/>
  <c r="O82" i="155"/>
  <c r="J82" i="155"/>
  <c r="BW81" i="155"/>
  <c r="BS81" i="155"/>
  <c r="BO81" i="155"/>
  <c r="BK81" i="155"/>
  <c r="BG81" i="155"/>
  <c r="BC81" i="155"/>
  <c r="AY81" i="155"/>
  <c r="AU81" i="155"/>
  <c r="AQ81" i="155"/>
  <c r="AM81" i="155"/>
  <c r="AI81" i="155"/>
  <c r="AE81" i="155"/>
  <c r="AA81" i="155"/>
  <c r="W81" i="155"/>
  <c r="S81" i="155"/>
  <c r="O81" i="155"/>
  <c r="J81" i="155"/>
  <c r="BW80" i="155"/>
  <c r="BS80" i="155"/>
  <c r="BO80" i="155"/>
  <c r="BK80" i="155"/>
  <c r="BG80" i="155"/>
  <c r="BC80" i="155"/>
  <c r="AY80" i="155"/>
  <c r="AU80" i="155"/>
  <c r="AQ80" i="155"/>
  <c r="AM80" i="155"/>
  <c r="AI80" i="155"/>
  <c r="AE80" i="155"/>
  <c r="AA80" i="155"/>
  <c r="W80" i="155"/>
  <c r="S80" i="155"/>
  <c r="O80" i="155"/>
  <c r="J80" i="155"/>
  <c r="BW79" i="155"/>
  <c r="BS79" i="155"/>
  <c r="BO79" i="155"/>
  <c r="BK79" i="155"/>
  <c r="BG79" i="155"/>
  <c r="BC79" i="155"/>
  <c r="AY79" i="155"/>
  <c r="AU79" i="155"/>
  <c r="AQ79" i="155"/>
  <c r="AM79" i="155"/>
  <c r="AI79" i="155"/>
  <c r="AE79" i="155"/>
  <c r="AA79" i="155"/>
  <c r="W79" i="155"/>
  <c r="S79" i="155"/>
  <c r="O79" i="155"/>
  <c r="J79" i="155"/>
  <c r="BW78" i="155"/>
  <c r="BS78" i="155"/>
  <c r="BO78" i="155"/>
  <c r="BK78" i="155"/>
  <c r="BG78" i="155"/>
  <c r="BC78" i="155"/>
  <c r="AY78" i="155"/>
  <c r="AU78" i="155"/>
  <c r="AQ78" i="155"/>
  <c r="AM78" i="155"/>
  <c r="AI78" i="155"/>
  <c r="AE78" i="155"/>
  <c r="AA78" i="155"/>
  <c r="W78" i="155"/>
  <c r="S78" i="155"/>
  <c r="O78" i="155"/>
  <c r="J78" i="155"/>
  <c r="BW77" i="155"/>
  <c r="BS77" i="155"/>
  <c r="BO77" i="155"/>
  <c r="BK77" i="155"/>
  <c r="BG77" i="155"/>
  <c r="BC77" i="155"/>
  <c r="AY77" i="155"/>
  <c r="AU77" i="155"/>
  <c r="AQ77" i="155"/>
  <c r="AM77" i="155"/>
  <c r="AI77" i="155"/>
  <c r="AE77" i="155"/>
  <c r="AA77" i="155"/>
  <c r="W77" i="155"/>
  <c r="S77" i="155"/>
  <c r="O77" i="155"/>
  <c r="J77" i="155"/>
  <c r="BW76" i="155"/>
  <c r="BS76" i="155"/>
  <c r="BO76" i="155"/>
  <c r="BK76" i="155"/>
  <c r="BG76" i="155"/>
  <c r="BC76" i="155"/>
  <c r="AY76" i="155"/>
  <c r="AU76" i="155"/>
  <c r="AQ76" i="155"/>
  <c r="AM76" i="155"/>
  <c r="AI76" i="155"/>
  <c r="AE76" i="155"/>
  <c r="AA76" i="155"/>
  <c r="W76" i="155"/>
  <c r="S76" i="155"/>
  <c r="O76" i="155"/>
  <c r="J76" i="155"/>
  <c r="BW75" i="155"/>
  <c r="BS75" i="155"/>
  <c r="BO75" i="155"/>
  <c r="BK75" i="155"/>
  <c r="BG75" i="155"/>
  <c r="BC75" i="155"/>
  <c r="AY75" i="155"/>
  <c r="AU75" i="155"/>
  <c r="AQ75" i="155"/>
  <c r="AM75" i="155"/>
  <c r="AI75" i="155"/>
  <c r="AE75" i="155"/>
  <c r="AA75" i="155"/>
  <c r="W75" i="155"/>
  <c r="S75" i="155"/>
  <c r="O75" i="155"/>
  <c r="J75" i="155"/>
  <c r="BW74" i="155"/>
  <c r="BS74" i="155"/>
  <c r="BO74" i="155"/>
  <c r="BK74" i="155"/>
  <c r="BG74" i="155"/>
  <c r="BC74" i="155"/>
  <c r="AY74" i="155"/>
  <c r="AU74" i="155"/>
  <c r="AQ74" i="155"/>
  <c r="AM74" i="155"/>
  <c r="AI74" i="155"/>
  <c r="AE74" i="155"/>
  <c r="AA74" i="155"/>
  <c r="W74" i="155"/>
  <c r="S74" i="155"/>
  <c r="O74" i="155"/>
  <c r="J74" i="155"/>
  <c r="BW73" i="155"/>
  <c r="BS73" i="155"/>
  <c r="BO73" i="155"/>
  <c r="BK73" i="155"/>
  <c r="BG73" i="155"/>
  <c r="BC73" i="155"/>
  <c r="AY73" i="155"/>
  <c r="AU73" i="155"/>
  <c r="AQ73" i="155"/>
  <c r="AM73" i="155"/>
  <c r="AI73" i="155"/>
  <c r="AE73" i="155"/>
  <c r="AA73" i="155"/>
  <c r="W73" i="155"/>
  <c r="S73" i="155"/>
  <c r="O73" i="155"/>
  <c r="J73" i="155"/>
  <c r="BW72" i="155"/>
  <c r="BS72" i="155"/>
  <c r="BO72" i="155"/>
  <c r="BK72" i="155"/>
  <c r="BG72" i="155"/>
  <c r="BC72" i="155"/>
  <c r="AY72" i="155"/>
  <c r="AU72" i="155"/>
  <c r="AQ72" i="155"/>
  <c r="AM72" i="155"/>
  <c r="AI72" i="155"/>
  <c r="AE72" i="155"/>
  <c r="AA72" i="155"/>
  <c r="W72" i="155"/>
  <c r="S72" i="155"/>
  <c r="O72" i="155"/>
  <c r="J72" i="155"/>
  <c r="BW71" i="155"/>
  <c r="BS71" i="155"/>
  <c r="BO71" i="155"/>
  <c r="BK71" i="155"/>
  <c r="BG71" i="155"/>
  <c r="BC71" i="155"/>
  <c r="AY71" i="155"/>
  <c r="AU71" i="155"/>
  <c r="AQ71" i="155"/>
  <c r="AM71" i="155"/>
  <c r="AI71" i="155"/>
  <c r="AE71" i="155"/>
  <c r="AA71" i="155"/>
  <c r="W71" i="155"/>
  <c r="S71" i="155"/>
  <c r="O71" i="155"/>
  <c r="J71" i="155"/>
  <c r="BW70" i="155"/>
  <c r="BS70" i="155"/>
  <c r="BO70" i="155"/>
  <c r="BK70" i="155"/>
  <c r="BG70" i="155"/>
  <c r="BC70" i="155"/>
  <c r="AY70" i="155"/>
  <c r="AU70" i="155"/>
  <c r="AQ70" i="155"/>
  <c r="AM70" i="155"/>
  <c r="AI70" i="155"/>
  <c r="AE70" i="155"/>
  <c r="AA70" i="155"/>
  <c r="W70" i="155"/>
  <c r="S70" i="155"/>
  <c r="O70" i="155"/>
  <c r="J70" i="155"/>
  <c r="BW69" i="155"/>
  <c r="BS69" i="155"/>
  <c r="BO69" i="155"/>
  <c r="BK69" i="155"/>
  <c r="BG69" i="155"/>
  <c r="BC69" i="155"/>
  <c r="AY69" i="155"/>
  <c r="AU69" i="155"/>
  <c r="AQ69" i="155"/>
  <c r="AM69" i="155"/>
  <c r="AI69" i="155"/>
  <c r="AE69" i="155"/>
  <c r="AA69" i="155"/>
  <c r="W69" i="155"/>
  <c r="S69" i="155"/>
  <c r="O69" i="155"/>
  <c r="J69" i="155"/>
  <c r="BW68" i="155"/>
  <c r="BS68" i="155"/>
  <c r="BO68" i="155"/>
  <c r="BK68" i="155"/>
  <c r="BG68" i="155"/>
  <c r="BC68" i="155"/>
  <c r="AY68" i="155"/>
  <c r="AU68" i="155"/>
  <c r="AQ68" i="155"/>
  <c r="AM68" i="155"/>
  <c r="AI68" i="155"/>
  <c r="AE68" i="155"/>
  <c r="AA68" i="155"/>
  <c r="W68" i="155"/>
  <c r="S68" i="155"/>
  <c r="O68" i="155"/>
  <c r="J68" i="155"/>
  <c r="BW67" i="155"/>
  <c r="BS67" i="155"/>
  <c r="BO67" i="155"/>
  <c r="BK67" i="155"/>
  <c r="BG67" i="155"/>
  <c r="BC67" i="155"/>
  <c r="AY67" i="155"/>
  <c r="AU67" i="155"/>
  <c r="AQ67" i="155"/>
  <c r="AM67" i="155"/>
  <c r="AI67" i="155"/>
  <c r="AE67" i="155"/>
  <c r="AA67" i="155"/>
  <c r="W67" i="155"/>
  <c r="S67" i="155"/>
  <c r="O67" i="155"/>
  <c r="J67" i="155"/>
  <c r="BW66" i="155"/>
  <c r="BS66" i="155"/>
  <c r="BO66" i="155"/>
  <c r="BK66" i="155"/>
  <c r="BG66" i="155"/>
  <c r="BC66" i="155"/>
  <c r="AY66" i="155"/>
  <c r="AU66" i="155"/>
  <c r="AQ66" i="155"/>
  <c r="AM66" i="155"/>
  <c r="AI66" i="155"/>
  <c r="AE66" i="155"/>
  <c r="AA66" i="155"/>
  <c r="W66" i="155"/>
  <c r="S66" i="155"/>
  <c r="O66" i="155"/>
  <c r="J66" i="155"/>
  <c r="BW65" i="155"/>
  <c r="BS65" i="155"/>
  <c r="BO65" i="155"/>
  <c r="BK65" i="155"/>
  <c r="BG65" i="155"/>
  <c r="BC65" i="155"/>
  <c r="AY65" i="155"/>
  <c r="AU65" i="155"/>
  <c r="AQ65" i="155"/>
  <c r="AM65" i="155"/>
  <c r="AI65" i="155"/>
  <c r="AE65" i="155"/>
  <c r="AA65" i="155"/>
  <c r="W65" i="155"/>
  <c r="S65" i="155"/>
  <c r="O65" i="155"/>
  <c r="J65" i="155"/>
  <c r="BW64" i="155"/>
  <c r="BS64" i="155"/>
  <c r="BO64" i="155"/>
  <c r="BK64" i="155"/>
  <c r="BG64" i="155"/>
  <c r="BC64" i="155"/>
  <c r="AY64" i="155"/>
  <c r="AU64" i="155"/>
  <c r="AQ64" i="155"/>
  <c r="AM64" i="155"/>
  <c r="AI64" i="155"/>
  <c r="AE64" i="155"/>
  <c r="AA64" i="155"/>
  <c r="W64" i="155"/>
  <c r="S64" i="155"/>
  <c r="O64" i="155"/>
  <c r="J64" i="155"/>
  <c r="BW63" i="155"/>
  <c r="BS63" i="155"/>
  <c r="BO63" i="155"/>
  <c r="BK63" i="155"/>
  <c r="BG63" i="155"/>
  <c r="BC63" i="155"/>
  <c r="AY63" i="155"/>
  <c r="AU63" i="155"/>
  <c r="AQ63" i="155"/>
  <c r="AM63" i="155"/>
  <c r="AI63" i="155"/>
  <c r="AE63" i="155"/>
  <c r="AA63" i="155"/>
  <c r="W63" i="155"/>
  <c r="S63" i="155"/>
  <c r="O63" i="155"/>
  <c r="J63" i="155"/>
  <c r="BW62" i="155"/>
  <c r="BS62" i="155"/>
  <c r="BO62" i="155"/>
  <c r="BK62" i="155"/>
  <c r="BG62" i="155"/>
  <c r="BC62" i="155"/>
  <c r="AY62" i="155"/>
  <c r="AU62" i="155"/>
  <c r="AQ62" i="155"/>
  <c r="AM62" i="155"/>
  <c r="AI62" i="155"/>
  <c r="AE62" i="155"/>
  <c r="AA62" i="155"/>
  <c r="W62" i="155"/>
  <c r="S62" i="155"/>
  <c r="O62" i="155"/>
  <c r="J62" i="155"/>
  <c r="BW61" i="155"/>
  <c r="BS61" i="155"/>
  <c r="BO61" i="155"/>
  <c r="BK61" i="155"/>
  <c r="BG61" i="155"/>
  <c r="BC61" i="155"/>
  <c r="AY61" i="155"/>
  <c r="AU61" i="155"/>
  <c r="AQ61" i="155"/>
  <c r="AM61" i="155"/>
  <c r="AI61" i="155"/>
  <c r="AE61" i="155"/>
  <c r="AA61" i="155"/>
  <c r="W61" i="155"/>
  <c r="S61" i="155"/>
  <c r="O61" i="155"/>
  <c r="J61" i="155"/>
  <c r="BW60" i="155"/>
  <c r="BS60" i="155"/>
  <c r="BO60" i="155"/>
  <c r="BK60" i="155"/>
  <c r="BG60" i="155"/>
  <c r="BC60" i="155"/>
  <c r="AY60" i="155"/>
  <c r="AU60" i="155"/>
  <c r="AQ60" i="155"/>
  <c r="AM60" i="155"/>
  <c r="AI60" i="155"/>
  <c r="AE60" i="155"/>
  <c r="AA60" i="155"/>
  <c r="W60" i="155"/>
  <c r="S60" i="155"/>
  <c r="O60" i="155"/>
  <c r="J60" i="155"/>
  <c r="BW59" i="155"/>
  <c r="BS59" i="155"/>
  <c r="BO59" i="155"/>
  <c r="BK59" i="155"/>
  <c r="BG59" i="155"/>
  <c r="BC59" i="155"/>
  <c r="AY59" i="155"/>
  <c r="AU59" i="155"/>
  <c r="AQ59" i="155"/>
  <c r="AM59" i="155"/>
  <c r="AI59" i="155"/>
  <c r="AE59" i="155"/>
  <c r="AA59" i="155"/>
  <c r="W59" i="155"/>
  <c r="S59" i="155"/>
  <c r="O59" i="155"/>
  <c r="J59" i="155"/>
  <c r="BW58" i="155"/>
  <c r="BS58" i="155"/>
  <c r="BO58" i="155"/>
  <c r="BK58" i="155"/>
  <c r="BG58" i="155"/>
  <c r="BC58" i="155"/>
  <c r="AY58" i="155"/>
  <c r="AU58" i="155"/>
  <c r="AQ58" i="155"/>
  <c r="AM58" i="155"/>
  <c r="AI58" i="155"/>
  <c r="AE58" i="155"/>
  <c r="AA58" i="155"/>
  <c r="W58" i="155"/>
  <c r="S58" i="155"/>
  <c r="O58" i="155"/>
  <c r="J58" i="155"/>
  <c r="BW57" i="155"/>
  <c r="BS57" i="155"/>
  <c r="BO57" i="155"/>
  <c r="BK57" i="155"/>
  <c r="BG57" i="155"/>
  <c r="BC57" i="155"/>
  <c r="AY57" i="155"/>
  <c r="AU57" i="155"/>
  <c r="AQ57" i="155"/>
  <c r="AM57" i="155"/>
  <c r="AI57" i="155"/>
  <c r="AE57" i="155"/>
  <c r="AA57" i="155"/>
  <c r="W57" i="155"/>
  <c r="S57" i="155"/>
  <c r="O57" i="155"/>
  <c r="J57" i="155"/>
  <c r="BW56" i="155"/>
  <c r="BS56" i="155"/>
  <c r="BO56" i="155"/>
  <c r="BK56" i="155"/>
  <c r="BG56" i="155"/>
  <c r="BC56" i="155"/>
  <c r="AY56" i="155"/>
  <c r="AU56" i="155"/>
  <c r="AQ56" i="155"/>
  <c r="AM56" i="155"/>
  <c r="AI56" i="155"/>
  <c r="AE56" i="155"/>
  <c r="AA56" i="155"/>
  <c r="W56" i="155"/>
  <c r="S56" i="155"/>
  <c r="O56" i="155"/>
  <c r="J56" i="155"/>
  <c r="BW55" i="155"/>
  <c r="BS55" i="155"/>
  <c r="BO55" i="155"/>
  <c r="BK55" i="155"/>
  <c r="BG55" i="155"/>
  <c r="BC55" i="155"/>
  <c r="AY55" i="155"/>
  <c r="AU55" i="155"/>
  <c r="AQ55" i="155"/>
  <c r="AM55" i="155"/>
  <c r="AI55" i="155"/>
  <c r="AE55" i="155"/>
  <c r="AA55" i="155"/>
  <c r="W55" i="155"/>
  <c r="S55" i="155"/>
  <c r="O55" i="155"/>
  <c r="J55" i="155"/>
  <c r="BW54" i="155"/>
  <c r="BS54" i="155"/>
  <c r="BO54" i="155"/>
  <c r="BK54" i="155"/>
  <c r="BG54" i="155"/>
  <c r="BC54" i="155"/>
  <c r="AY54" i="155"/>
  <c r="AU54" i="155"/>
  <c r="AQ54" i="155"/>
  <c r="AM54" i="155"/>
  <c r="AI54" i="155"/>
  <c r="AE54" i="155"/>
  <c r="AA54" i="155"/>
  <c r="W54" i="155"/>
  <c r="S54" i="155"/>
  <c r="O54" i="155"/>
  <c r="J54" i="155"/>
  <c r="BW53" i="155"/>
  <c r="BS53" i="155"/>
  <c r="BO53" i="155"/>
  <c r="BK53" i="155"/>
  <c r="BG53" i="155"/>
  <c r="BC53" i="155"/>
  <c r="AY53" i="155"/>
  <c r="AU53" i="155"/>
  <c r="AQ53" i="155"/>
  <c r="AM53" i="155"/>
  <c r="AI53" i="155"/>
  <c r="AE53" i="155"/>
  <c r="AA53" i="155"/>
  <c r="W53" i="155"/>
  <c r="S53" i="155"/>
  <c r="O53" i="155"/>
  <c r="J53" i="155"/>
  <c r="BW52" i="155"/>
  <c r="BS52" i="155"/>
  <c r="BO52" i="155"/>
  <c r="BK52" i="155"/>
  <c r="BG52" i="155"/>
  <c r="BC52" i="155"/>
  <c r="AY52" i="155"/>
  <c r="AU52" i="155"/>
  <c r="AQ52" i="155"/>
  <c r="AM52" i="155"/>
  <c r="AI52" i="155"/>
  <c r="AE52" i="155"/>
  <c r="AA52" i="155"/>
  <c r="W52" i="155"/>
  <c r="S52" i="155"/>
  <c r="O52" i="155"/>
  <c r="J52" i="155"/>
  <c r="BW51" i="155"/>
  <c r="BS51" i="155"/>
  <c r="BO51" i="155"/>
  <c r="BK51" i="155"/>
  <c r="BG51" i="155"/>
  <c r="BC51" i="155"/>
  <c r="AY51" i="155"/>
  <c r="AU51" i="155"/>
  <c r="AQ51" i="155"/>
  <c r="AM51" i="155"/>
  <c r="AI51" i="155"/>
  <c r="AE51" i="155"/>
  <c r="AA51" i="155"/>
  <c r="W51" i="155"/>
  <c r="S51" i="155"/>
  <c r="O51" i="155"/>
  <c r="J51" i="155"/>
  <c r="BW50" i="155"/>
  <c r="BS50" i="155"/>
  <c r="BO50" i="155"/>
  <c r="BK50" i="155"/>
  <c r="BG50" i="155"/>
  <c r="BC50" i="155"/>
  <c r="AY50" i="155"/>
  <c r="AU50" i="155"/>
  <c r="AQ50" i="155"/>
  <c r="AM50" i="155"/>
  <c r="AI50" i="155"/>
  <c r="AE50" i="155"/>
  <c r="AA50" i="155"/>
  <c r="W50" i="155"/>
  <c r="S50" i="155"/>
  <c r="O50" i="155"/>
  <c r="J50" i="155"/>
  <c r="BW49" i="155"/>
  <c r="BS49" i="155"/>
  <c r="BO49" i="155"/>
  <c r="BK49" i="155"/>
  <c r="BG49" i="155"/>
  <c r="BC49" i="155"/>
  <c r="AY49" i="155"/>
  <c r="AU49" i="155"/>
  <c r="AQ49" i="155"/>
  <c r="AM49" i="155"/>
  <c r="AI49" i="155"/>
  <c r="AE49" i="155"/>
  <c r="AA49" i="155"/>
  <c r="W49" i="155"/>
  <c r="S49" i="155"/>
  <c r="O49" i="155"/>
  <c r="J49" i="155"/>
  <c r="BW48" i="155"/>
  <c r="BS48" i="155"/>
  <c r="BO48" i="155"/>
  <c r="BK48" i="155"/>
  <c r="BG48" i="155"/>
  <c r="BC48" i="155"/>
  <c r="AY48" i="155"/>
  <c r="AU48" i="155"/>
  <c r="AQ48" i="155"/>
  <c r="AM48" i="155"/>
  <c r="AI48" i="155"/>
  <c r="AE48" i="155"/>
  <c r="AA48" i="155"/>
  <c r="W48" i="155"/>
  <c r="S48" i="155"/>
  <c r="O48" i="155"/>
  <c r="J48" i="155"/>
  <c r="BW47" i="155"/>
  <c r="BS47" i="155"/>
  <c r="BO47" i="155"/>
  <c r="BK47" i="155"/>
  <c r="BG47" i="155"/>
  <c r="BC47" i="155"/>
  <c r="AY47" i="155"/>
  <c r="AU47" i="155"/>
  <c r="AQ47" i="155"/>
  <c r="AM47" i="155"/>
  <c r="AI47" i="155"/>
  <c r="AE47" i="155"/>
  <c r="AA47" i="155"/>
  <c r="W47" i="155"/>
  <c r="S47" i="155"/>
  <c r="O47" i="155"/>
  <c r="J47" i="155"/>
  <c r="BW46" i="155"/>
  <c r="BS46" i="155"/>
  <c r="BO46" i="155"/>
  <c r="BK46" i="155"/>
  <c r="BG46" i="155"/>
  <c r="BC46" i="155"/>
  <c r="AY46" i="155"/>
  <c r="AU46" i="155"/>
  <c r="AQ46" i="155"/>
  <c r="AM46" i="155"/>
  <c r="AI46" i="155"/>
  <c r="AE46" i="155"/>
  <c r="AA46" i="155"/>
  <c r="W46" i="155"/>
  <c r="S46" i="155"/>
  <c r="O46" i="155"/>
  <c r="J46" i="155"/>
  <c r="BW45" i="155"/>
  <c r="BS45" i="155"/>
  <c r="BO45" i="155"/>
  <c r="BK45" i="155"/>
  <c r="BG45" i="155"/>
  <c r="BC45" i="155"/>
  <c r="AY45" i="155"/>
  <c r="AU45" i="155"/>
  <c r="AQ45" i="155"/>
  <c r="AM45" i="155"/>
  <c r="AI45" i="155"/>
  <c r="AE45" i="155"/>
  <c r="AA45" i="155"/>
  <c r="W45" i="155"/>
  <c r="S45" i="155"/>
  <c r="O45" i="155"/>
  <c r="J45" i="155"/>
  <c r="BW44" i="155"/>
  <c r="BS44" i="155"/>
  <c r="BO44" i="155"/>
  <c r="BK44" i="155"/>
  <c r="BG44" i="155"/>
  <c r="BC44" i="155"/>
  <c r="AY44" i="155"/>
  <c r="AU44" i="155"/>
  <c r="AQ44" i="155"/>
  <c r="AM44" i="155"/>
  <c r="AI44" i="155"/>
  <c r="AE44" i="155"/>
  <c r="AA44" i="155"/>
  <c r="W44" i="155"/>
  <c r="S44" i="155"/>
  <c r="O44" i="155"/>
  <c r="J44" i="155"/>
  <c r="BW43" i="155"/>
  <c r="BS43" i="155"/>
  <c r="BO43" i="155"/>
  <c r="BK43" i="155"/>
  <c r="BG43" i="155"/>
  <c r="BC43" i="155"/>
  <c r="AY43" i="155"/>
  <c r="AU43" i="155"/>
  <c r="AQ43" i="155"/>
  <c r="AM43" i="155"/>
  <c r="AI43" i="155"/>
  <c r="AE43" i="155"/>
  <c r="AA43" i="155"/>
  <c r="W43" i="155"/>
  <c r="S43" i="155"/>
  <c r="O43" i="155"/>
  <c r="J43" i="155"/>
  <c r="BW42" i="155"/>
  <c r="BS42" i="155"/>
  <c r="BO42" i="155"/>
  <c r="BK42" i="155"/>
  <c r="BG42" i="155"/>
  <c r="BC42" i="155"/>
  <c r="AY42" i="155"/>
  <c r="AU42" i="155"/>
  <c r="AQ42" i="155"/>
  <c r="AM42" i="155"/>
  <c r="AI42" i="155"/>
  <c r="AE42" i="155"/>
  <c r="AA42" i="155"/>
  <c r="W42" i="155"/>
  <c r="S42" i="155"/>
  <c r="O42" i="155"/>
  <c r="J42" i="155"/>
  <c r="BW41" i="155"/>
  <c r="BS41" i="155"/>
  <c r="BO41" i="155"/>
  <c r="BK41" i="155"/>
  <c r="BG41" i="155"/>
  <c r="BC41" i="155"/>
  <c r="AY41" i="155"/>
  <c r="AU41" i="155"/>
  <c r="AQ41" i="155"/>
  <c r="AM41" i="155"/>
  <c r="AI41" i="155"/>
  <c r="AE41" i="155"/>
  <c r="AA41" i="155"/>
  <c r="W41" i="155"/>
  <c r="S41" i="155"/>
  <c r="O41" i="155"/>
  <c r="J41" i="155"/>
  <c r="BW40" i="155"/>
  <c r="BS40" i="155"/>
  <c r="BO40" i="155"/>
  <c r="BK40" i="155"/>
  <c r="BG40" i="155"/>
  <c r="BC40" i="155"/>
  <c r="AY40" i="155"/>
  <c r="AU40" i="155"/>
  <c r="AQ40" i="155"/>
  <c r="AM40" i="155"/>
  <c r="AI40" i="155"/>
  <c r="AE40" i="155"/>
  <c r="AA40" i="155"/>
  <c r="W40" i="155"/>
  <c r="S40" i="155"/>
  <c r="O40" i="155"/>
  <c r="J40" i="155"/>
  <c r="BW39" i="155"/>
  <c r="BS39" i="155"/>
  <c r="BO39" i="155"/>
  <c r="BK39" i="155"/>
  <c r="BG39" i="155"/>
  <c r="BC39" i="155"/>
  <c r="AY39" i="155"/>
  <c r="AU39" i="155"/>
  <c r="AQ39" i="155"/>
  <c r="AM39" i="155"/>
  <c r="AI39" i="155"/>
  <c r="AE39" i="155"/>
  <c r="AA39" i="155"/>
  <c r="W39" i="155"/>
  <c r="S39" i="155"/>
  <c r="O39" i="155"/>
  <c r="J39" i="155"/>
  <c r="BW38" i="155"/>
  <c r="BS38" i="155"/>
  <c r="BO38" i="155"/>
  <c r="BK38" i="155"/>
  <c r="BG38" i="155"/>
  <c r="BC38" i="155"/>
  <c r="AY38" i="155"/>
  <c r="AU38" i="155"/>
  <c r="AQ38" i="155"/>
  <c r="AM38" i="155"/>
  <c r="AI38" i="155"/>
  <c r="AE38" i="155"/>
  <c r="AA38" i="155"/>
  <c r="W38" i="155"/>
  <c r="S38" i="155"/>
  <c r="O38" i="155"/>
  <c r="J38" i="155"/>
  <c r="BW37" i="155"/>
  <c r="BS37" i="155"/>
  <c r="BO37" i="155"/>
  <c r="BK37" i="155"/>
  <c r="BG37" i="155"/>
  <c r="BC37" i="155"/>
  <c r="AY37" i="155"/>
  <c r="AU37" i="155"/>
  <c r="AQ37" i="155"/>
  <c r="AM37" i="155"/>
  <c r="AI37" i="155"/>
  <c r="AE37" i="155"/>
  <c r="AA37" i="155"/>
  <c r="W37" i="155"/>
  <c r="S37" i="155"/>
  <c r="O37" i="155"/>
  <c r="J37" i="155"/>
  <c r="BW36" i="155"/>
  <c r="BS36" i="155"/>
  <c r="BO36" i="155"/>
  <c r="BK36" i="155"/>
  <c r="BG36" i="155"/>
  <c r="BC36" i="155"/>
  <c r="AY36" i="155"/>
  <c r="AU36" i="155"/>
  <c r="AQ36" i="155"/>
  <c r="AM36" i="155"/>
  <c r="AI36" i="155"/>
  <c r="AE36" i="155"/>
  <c r="AA36" i="155"/>
  <c r="W36" i="155"/>
  <c r="S36" i="155"/>
  <c r="O36" i="155"/>
  <c r="J36" i="155"/>
  <c r="BW35" i="155"/>
  <c r="BS35" i="155"/>
  <c r="BO35" i="155"/>
  <c r="BK35" i="155"/>
  <c r="BG35" i="155"/>
  <c r="BC35" i="155"/>
  <c r="AY35" i="155"/>
  <c r="AU35" i="155"/>
  <c r="AQ35" i="155"/>
  <c r="AM35" i="155"/>
  <c r="AI35" i="155"/>
  <c r="AE35" i="155"/>
  <c r="AA35" i="155"/>
  <c r="W35" i="155"/>
  <c r="S35" i="155"/>
  <c r="O35" i="155"/>
  <c r="J35" i="155"/>
  <c r="BW34" i="155"/>
  <c r="BS34" i="155"/>
  <c r="BO34" i="155"/>
  <c r="BK34" i="155"/>
  <c r="BG34" i="155"/>
  <c r="BC34" i="155"/>
  <c r="AY34" i="155"/>
  <c r="AU34" i="155"/>
  <c r="AQ34" i="155"/>
  <c r="AM34" i="155"/>
  <c r="AI34" i="155"/>
  <c r="AE34" i="155"/>
  <c r="AA34" i="155"/>
  <c r="W34" i="155"/>
  <c r="S34" i="155"/>
  <c r="O34" i="155"/>
  <c r="J34" i="155"/>
  <c r="BW33" i="155"/>
  <c r="BS33" i="155"/>
  <c r="BO33" i="155"/>
  <c r="BK33" i="155"/>
  <c r="BG33" i="155"/>
  <c r="BC33" i="155"/>
  <c r="AY33" i="155"/>
  <c r="AU33" i="155"/>
  <c r="AQ33" i="155"/>
  <c r="AM33" i="155"/>
  <c r="AI33" i="155"/>
  <c r="AE33" i="155"/>
  <c r="AA33" i="155"/>
  <c r="W33" i="155"/>
  <c r="S33" i="155"/>
  <c r="O33" i="155"/>
  <c r="J33" i="155"/>
  <c r="BW32" i="155"/>
  <c r="BS32" i="155"/>
  <c r="BO32" i="155"/>
  <c r="BK32" i="155"/>
  <c r="BG32" i="155"/>
  <c r="BC32" i="155"/>
  <c r="AY32" i="155"/>
  <c r="AU32" i="155"/>
  <c r="AQ32" i="155"/>
  <c r="AM32" i="155"/>
  <c r="AI32" i="155"/>
  <c r="AE32" i="155"/>
  <c r="AA32" i="155"/>
  <c r="W32" i="155"/>
  <c r="S32" i="155"/>
  <c r="O32" i="155"/>
  <c r="J32" i="155"/>
  <c r="BW31" i="155"/>
  <c r="BS31" i="155"/>
  <c r="BO31" i="155"/>
  <c r="BK31" i="155"/>
  <c r="BG31" i="155"/>
  <c r="BC31" i="155"/>
  <c r="AY31" i="155"/>
  <c r="AU31" i="155"/>
  <c r="AQ31" i="155"/>
  <c r="AM31" i="155"/>
  <c r="AI31" i="155"/>
  <c r="AE31" i="155"/>
  <c r="AA31" i="155"/>
  <c r="W31" i="155"/>
  <c r="S31" i="155"/>
  <c r="O31" i="155"/>
  <c r="J31" i="155"/>
  <c r="BW30" i="155"/>
  <c r="BS30" i="155"/>
  <c r="BO30" i="155"/>
  <c r="BK30" i="155"/>
  <c r="BG30" i="155"/>
  <c r="BC30" i="155"/>
  <c r="AY30" i="155"/>
  <c r="AU30" i="155"/>
  <c r="AQ30" i="155"/>
  <c r="AM30" i="155"/>
  <c r="AI30" i="155"/>
  <c r="AE30" i="155"/>
  <c r="AA30" i="155"/>
  <c r="W30" i="155"/>
  <c r="S30" i="155"/>
  <c r="O30" i="155"/>
  <c r="J30" i="155"/>
  <c r="BW29" i="155"/>
  <c r="BS29" i="155"/>
  <c r="BO29" i="155"/>
  <c r="BK29" i="155"/>
  <c r="BG29" i="155"/>
  <c r="BC29" i="155"/>
  <c r="AY29" i="155"/>
  <c r="AU29" i="155"/>
  <c r="AQ29" i="155"/>
  <c r="AM29" i="155"/>
  <c r="AI29" i="155"/>
  <c r="AE29" i="155"/>
  <c r="AA29" i="155"/>
  <c r="W29" i="155"/>
  <c r="S29" i="155"/>
  <c r="O29" i="155"/>
  <c r="J29" i="155"/>
  <c r="BW28" i="155"/>
  <c r="BS28" i="155"/>
  <c r="BO28" i="155"/>
  <c r="BK28" i="155"/>
  <c r="BG28" i="155"/>
  <c r="BC28" i="155"/>
  <c r="AY28" i="155"/>
  <c r="AU28" i="155"/>
  <c r="AQ28" i="155"/>
  <c r="AM28" i="155"/>
  <c r="AI28" i="155"/>
  <c r="AE28" i="155"/>
  <c r="AA28" i="155"/>
  <c r="W28" i="155"/>
  <c r="S28" i="155"/>
  <c r="O28" i="155"/>
  <c r="J28" i="155"/>
  <c r="BW27" i="155"/>
  <c r="BS27" i="155"/>
  <c r="BO27" i="155"/>
  <c r="BK27" i="155"/>
  <c r="BG27" i="155"/>
  <c r="BC27" i="155"/>
  <c r="AY27" i="155"/>
  <c r="AU27" i="155"/>
  <c r="AQ27" i="155"/>
  <c r="AM27" i="155"/>
  <c r="AI27" i="155"/>
  <c r="AE27" i="155"/>
  <c r="AA27" i="155"/>
  <c r="W27" i="155"/>
  <c r="S27" i="155"/>
  <c r="O27" i="155"/>
  <c r="J27" i="155"/>
  <c r="BW26" i="155"/>
  <c r="BS26" i="155"/>
  <c r="BO26" i="155"/>
  <c r="BK26" i="155"/>
  <c r="BG26" i="155"/>
  <c r="BC26" i="155"/>
  <c r="AY26" i="155"/>
  <c r="AU26" i="155"/>
  <c r="AQ26" i="155"/>
  <c r="AM26" i="155"/>
  <c r="AI26" i="155"/>
  <c r="AE26" i="155"/>
  <c r="AA26" i="155"/>
  <c r="W26" i="155"/>
  <c r="S26" i="155"/>
  <c r="O26" i="155"/>
  <c r="J26" i="155"/>
  <c r="BW25" i="155"/>
  <c r="BS25" i="155"/>
  <c r="BO25" i="155"/>
  <c r="BK25" i="155"/>
  <c r="BG25" i="155"/>
  <c r="BC25" i="155"/>
  <c r="AY25" i="155"/>
  <c r="AU25" i="155"/>
  <c r="AQ25" i="155"/>
  <c r="AM25" i="155"/>
  <c r="AI25" i="155"/>
  <c r="AE25" i="155"/>
  <c r="AA25" i="155"/>
  <c r="W25" i="155"/>
  <c r="S25" i="155"/>
  <c r="O25" i="155"/>
  <c r="J25" i="155"/>
  <c r="BW24" i="155"/>
  <c r="BS24" i="155"/>
  <c r="BO24" i="155"/>
  <c r="BK24" i="155"/>
  <c r="BG24" i="155"/>
  <c r="BC24" i="155"/>
  <c r="AY24" i="155"/>
  <c r="AU24" i="155"/>
  <c r="AQ24" i="155"/>
  <c r="AM24" i="155"/>
  <c r="AI24" i="155"/>
  <c r="AE24" i="155"/>
  <c r="AA24" i="155"/>
  <c r="W24" i="155"/>
  <c r="S24" i="155"/>
  <c r="O24" i="155"/>
  <c r="J24" i="155"/>
  <c r="BW23" i="155"/>
  <c r="BS23" i="155"/>
  <c r="BO23" i="155"/>
  <c r="BK23" i="155"/>
  <c r="BG23" i="155"/>
  <c r="BC23" i="155"/>
  <c r="AY23" i="155"/>
  <c r="AU23" i="155"/>
  <c r="AQ23" i="155"/>
  <c r="AM23" i="155"/>
  <c r="AI23" i="155"/>
  <c r="AE23" i="155"/>
  <c r="AA23" i="155"/>
  <c r="W23" i="155"/>
  <c r="S23" i="155"/>
  <c r="O23" i="155"/>
  <c r="J23" i="155"/>
  <c r="BW22" i="155"/>
  <c r="BS22" i="155"/>
  <c r="BO22" i="155"/>
  <c r="BK22" i="155"/>
  <c r="BG22" i="155"/>
  <c r="BC22" i="155"/>
  <c r="AY22" i="155"/>
  <c r="AU22" i="155"/>
  <c r="AQ22" i="155"/>
  <c r="AM22" i="155"/>
  <c r="AI22" i="155"/>
  <c r="AE22" i="155"/>
  <c r="AA22" i="155"/>
  <c r="W22" i="155"/>
  <c r="S22" i="155"/>
  <c r="O22" i="155"/>
  <c r="J22" i="155"/>
  <c r="BW21" i="155"/>
  <c r="BS21" i="155"/>
  <c r="BO21" i="155"/>
  <c r="BK21" i="155"/>
  <c r="BG21" i="155"/>
  <c r="BC21" i="155"/>
  <c r="AY21" i="155"/>
  <c r="AU21" i="155"/>
  <c r="AQ21" i="155"/>
  <c r="AM21" i="155"/>
  <c r="AI21" i="155"/>
  <c r="AE21" i="155"/>
  <c r="AA21" i="155"/>
  <c r="W21" i="155"/>
  <c r="S21" i="155"/>
  <c r="O21" i="155"/>
  <c r="J21" i="155"/>
  <c r="BW20" i="155"/>
  <c r="BS20" i="155"/>
  <c r="BO20" i="155"/>
  <c r="BK20" i="155"/>
  <c r="BG20" i="155"/>
  <c r="BC20" i="155"/>
  <c r="AY20" i="155"/>
  <c r="AU20" i="155"/>
  <c r="AQ20" i="155"/>
  <c r="AM20" i="155"/>
  <c r="AI20" i="155"/>
  <c r="AE20" i="155"/>
  <c r="AA20" i="155"/>
  <c r="W20" i="155"/>
  <c r="S20" i="155"/>
  <c r="O20" i="155"/>
  <c r="J20" i="155"/>
  <c r="BW19" i="155"/>
  <c r="BS19" i="155"/>
  <c r="BO19" i="155"/>
  <c r="BK19" i="155"/>
  <c r="BG19" i="155"/>
  <c r="BC19" i="155"/>
  <c r="AY19" i="155"/>
  <c r="AU19" i="155"/>
  <c r="AQ19" i="155"/>
  <c r="AM19" i="155"/>
  <c r="AI19" i="155"/>
  <c r="AE19" i="155"/>
  <c r="AA19" i="155"/>
  <c r="W19" i="155"/>
  <c r="S19" i="155"/>
  <c r="O19" i="155"/>
  <c r="J19" i="155"/>
  <c r="BW18" i="155"/>
  <c r="BS18" i="155"/>
  <c r="BO18" i="155"/>
  <c r="BK18" i="155"/>
  <c r="BG18" i="155"/>
  <c r="BC18" i="155"/>
  <c r="AY18" i="155"/>
  <c r="AU18" i="155"/>
  <c r="AQ18" i="155"/>
  <c r="AM18" i="155"/>
  <c r="AI18" i="155"/>
  <c r="AE18" i="155"/>
  <c r="AA18" i="155"/>
  <c r="W18" i="155"/>
  <c r="S18" i="155"/>
  <c r="O18" i="155"/>
  <c r="J18" i="155"/>
  <c r="BW17" i="155"/>
  <c r="BS17" i="155"/>
  <c r="BO17" i="155"/>
  <c r="BK17" i="155"/>
  <c r="BG17" i="155"/>
  <c r="BC17" i="155"/>
  <c r="AY17" i="155"/>
  <c r="AU17" i="155"/>
  <c r="AQ17" i="155"/>
  <c r="AM17" i="155"/>
  <c r="AI17" i="155"/>
  <c r="AE17" i="155"/>
  <c r="AA17" i="155"/>
  <c r="W17" i="155"/>
  <c r="S17" i="155"/>
  <c r="O17" i="155"/>
  <c r="J17" i="155"/>
  <c r="BW16" i="155"/>
  <c r="BS16" i="155"/>
  <c r="BO16" i="155"/>
  <c r="BK16" i="155"/>
  <c r="BG16" i="155"/>
  <c r="BC16" i="155"/>
  <c r="AY16" i="155"/>
  <c r="AU16" i="155"/>
  <c r="AQ16" i="155"/>
  <c r="AM16" i="155"/>
  <c r="AI16" i="155"/>
  <c r="AE16" i="155"/>
  <c r="AA16" i="155"/>
  <c r="W16" i="155"/>
  <c r="S16" i="155"/>
  <c r="O16" i="155"/>
  <c r="J16" i="155"/>
  <c r="BW15" i="155"/>
  <c r="BS15" i="155"/>
  <c r="BO15" i="155"/>
  <c r="BK15" i="155"/>
  <c r="BG15" i="155"/>
  <c r="BC15" i="155"/>
  <c r="AY15" i="155"/>
  <c r="AU15" i="155"/>
  <c r="AQ15" i="155"/>
  <c r="AM15" i="155"/>
  <c r="AI15" i="155"/>
  <c r="AE15" i="155"/>
  <c r="AA15" i="155"/>
  <c r="W15" i="155"/>
  <c r="S15" i="155"/>
  <c r="O15" i="155"/>
  <c r="J15" i="155"/>
  <c r="BW14" i="155"/>
  <c r="BS14" i="155"/>
  <c r="BO14" i="155"/>
  <c r="BK14" i="155"/>
  <c r="BG14" i="155"/>
  <c r="BC14" i="155"/>
  <c r="AY14" i="155"/>
  <c r="AU14" i="155"/>
  <c r="AQ14" i="155"/>
  <c r="AM14" i="155"/>
  <c r="AI14" i="155"/>
  <c r="AE14" i="155"/>
  <c r="AA14" i="155"/>
  <c r="W14" i="155"/>
  <c r="S14" i="155"/>
  <c r="O14" i="155"/>
  <c r="J14" i="155"/>
  <c r="BW13" i="155"/>
  <c r="BS13" i="155"/>
  <c r="BO13" i="155"/>
  <c r="BK13" i="155"/>
  <c r="BG13" i="155"/>
  <c r="BC13" i="155"/>
  <c r="AY13" i="155"/>
  <c r="AU13" i="155"/>
  <c r="AQ13" i="155"/>
  <c r="AM13" i="155"/>
  <c r="AI13" i="155"/>
  <c r="AE13" i="155"/>
  <c r="AA13" i="155"/>
  <c r="W13" i="155"/>
  <c r="S13" i="155"/>
  <c r="O13" i="155"/>
  <c r="J13" i="155"/>
  <c r="BW12" i="155"/>
  <c r="BS12" i="155"/>
  <c r="BO12" i="155"/>
  <c r="BK12" i="155"/>
  <c r="BG12" i="155"/>
  <c r="BC12" i="155"/>
  <c r="AY12" i="155"/>
  <c r="AU12" i="155"/>
  <c r="AQ12" i="155"/>
  <c r="AM12" i="155"/>
  <c r="AI12" i="155"/>
  <c r="AE12" i="155"/>
  <c r="AA12" i="155"/>
  <c r="W12" i="155"/>
  <c r="S12" i="155"/>
  <c r="O12" i="155"/>
  <c r="J12" i="155"/>
  <c r="BW11" i="155"/>
  <c r="BS11" i="155"/>
  <c r="BO11" i="155"/>
  <c r="BK11" i="155"/>
  <c r="BG11" i="155"/>
  <c r="BC11" i="155"/>
  <c r="AY11" i="155"/>
  <c r="AU11" i="155"/>
  <c r="AQ11" i="155"/>
  <c r="AM11" i="155"/>
  <c r="AI11" i="155"/>
  <c r="AE11" i="155"/>
  <c r="AA11" i="155"/>
  <c r="W11" i="155"/>
  <c r="S11" i="155"/>
  <c r="O11" i="155"/>
  <c r="J11" i="155"/>
  <c r="BW10" i="155"/>
  <c r="BS10" i="155"/>
  <c r="BO10" i="155"/>
  <c r="BK10" i="155"/>
  <c r="BG10" i="155"/>
  <c r="BC10" i="155"/>
  <c r="AY10" i="155"/>
  <c r="AU10" i="155"/>
  <c r="AQ10" i="155"/>
  <c r="AM10" i="155"/>
  <c r="AI10" i="155"/>
  <c r="AE10" i="155"/>
  <c r="AA10" i="155"/>
  <c r="W10" i="155"/>
  <c r="S10" i="155"/>
  <c r="O10" i="155"/>
  <c r="J10" i="155"/>
  <c r="BW9" i="155"/>
  <c r="BS9" i="155"/>
  <c r="BO9" i="155"/>
  <c r="BK9" i="155"/>
  <c r="BG9" i="155"/>
  <c r="BC9" i="155"/>
  <c r="AY9" i="155"/>
  <c r="AU9" i="155"/>
  <c r="AQ9" i="155"/>
  <c r="AM9" i="155"/>
  <c r="AI9" i="155"/>
  <c r="AE9" i="155"/>
  <c r="AA9" i="155"/>
  <c r="W9" i="155"/>
  <c r="S9" i="155"/>
  <c r="O9" i="155"/>
  <c r="J9" i="155"/>
  <c r="BW8" i="155"/>
  <c r="BS8" i="155"/>
  <c r="BO8" i="155"/>
  <c r="BK8" i="155"/>
  <c r="BG8" i="155"/>
  <c r="BC8" i="155"/>
  <c r="AY8" i="155"/>
  <c r="AU8" i="155"/>
  <c r="AQ8" i="155"/>
  <c r="AM8" i="155"/>
  <c r="AI8" i="155"/>
  <c r="AE8" i="155"/>
  <c r="AA8" i="155"/>
  <c r="W8" i="155"/>
  <c r="S8" i="155"/>
  <c r="O8" i="155"/>
  <c r="J8" i="155"/>
  <c r="BW7" i="155"/>
  <c r="BS7" i="155"/>
  <c r="BO7" i="155"/>
  <c r="BK7" i="155"/>
  <c r="BG7" i="155"/>
  <c r="BC7" i="155"/>
  <c r="AY7" i="155"/>
  <c r="AU7" i="155"/>
  <c r="AQ7" i="155"/>
  <c r="AM7" i="155"/>
  <c r="AI7" i="155"/>
  <c r="AE7" i="155"/>
  <c r="AA7" i="155"/>
  <c r="W7" i="155"/>
  <c r="S7" i="155"/>
  <c r="O7" i="155"/>
  <c r="J7" i="155"/>
  <c r="BU6" i="155"/>
  <c r="BQ6" i="155"/>
  <c r="BP6" i="155"/>
  <c r="BN6" i="155"/>
  <c r="BO6" i="155" s="1"/>
  <c r="BM6" i="155"/>
  <c r="BL6" i="155"/>
  <c r="BJ6" i="155"/>
  <c r="BK6" i="155" s="1"/>
  <c r="BI6" i="155"/>
  <c r="BD6" i="155"/>
  <c r="AW6" i="155"/>
  <c r="AS6" i="155"/>
  <c r="AR6" i="155"/>
  <c r="AP6" i="155"/>
  <c r="AQ6" i="155" s="1"/>
  <c r="AO6" i="155"/>
  <c r="AN6" i="155"/>
  <c r="AL6" i="155"/>
  <c r="AM6" i="155" s="1"/>
  <c r="AK6" i="155"/>
  <c r="AF6" i="155"/>
  <c r="Y6" i="155"/>
  <c r="U6" i="155"/>
  <c r="T6" i="155"/>
  <c r="R6" i="155"/>
  <c r="S6" i="155" s="1"/>
  <c r="Q6" i="155"/>
  <c r="P6" i="155"/>
  <c r="N6" i="155"/>
  <c r="O6" i="155" s="1"/>
  <c r="M6" i="155"/>
  <c r="BP5" i="155"/>
  <c r="BS5" i="155" s="1"/>
  <c r="BL5" i="155"/>
  <c r="BO5" i="155" s="1"/>
  <c r="BH5" i="155"/>
  <c r="BK5" i="155" s="1"/>
  <c r="BD5" i="155"/>
  <c r="BG5" i="155" s="1"/>
  <c r="AR5" i="155"/>
  <c r="AU5" i="155" s="1"/>
  <c r="AN5" i="155"/>
  <c r="AQ5" i="155" s="1"/>
  <c r="AJ5" i="155"/>
  <c r="AM5" i="155" s="1"/>
  <c r="AF5" i="155"/>
  <c r="AI5" i="155" s="1"/>
  <c r="T5" i="155"/>
  <c r="W5" i="155" s="1"/>
  <c r="P5" i="155"/>
  <c r="S5" i="155" s="1"/>
  <c r="L5" i="155"/>
  <c r="O5" i="155" s="1"/>
  <c r="BS4" i="155"/>
  <c r="BT5" i="155" s="1"/>
  <c r="BW5" i="155" s="1"/>
  <c r="BP4" i="155"/>
  <c r="BO4" i="155"/>
  <c r="BR6" i="155" s="1"/>
  <c r="BS6" i="155" s="1"/>
  <c r="BL4" i="155"/>
  <c r="BK4" i="155"/>
  <c r="BG4" i="155"/>
  <c r="BH6" i="155" s="1"/>
  <c r="BC4" i="155"/>
  <c r="BF6" i="155" s="1"/>
  <c r="BG6" i="155" s="1"/>
  <c r="AY4" i="155"/>
  <c r="BB6" i="155" s="1"/>
  <c r="BC6" i="155" s="1"/>
  <c r="AU4" i="155"/>
  <c r="AV5" i="155" s="1"/>
  <c r="AY5" i="155" s="1"/>
  <c r="AR4" i="155"/>
  <c r="AQ4" i="155"/>
  <c r="AT6" i="155" s="1"/>
  <c r="AU6" i="155" s="1"/>
  <c r="AN4" i="155"/>
  <c r="AM4" i="155"/>
  <c r="AI4" i="155"/>
  <c r="AJ6" i="155" s="1"/>
  <c r="AE4" i="155"/>
  <c r="AH6" i="155" s="1"/>
  <c r="AI6" i="155" s="1"/>
  <c r="AA4" i="155"/>
  <c r="AD6" i="155" s="1"/>
  <c r="AE6" i="155" s="1"/>
  <c r="W4" i="155"/>
  <c r="Z6" i="155" s="1"/>
  <c r="AA6" i="155" s="1"/>
  <c r="T4" i="155"/>
  <c r="S4" i="155"/>
  <c r="V6" i="155" s="1"/>
  <c r="W6" i="155" s="1"/>
  <c r="P4" i="155"/>
  <c r="O4" i="155"/>
  <c r="K4" i="155"/>
  <c r="L4" i="155" s="1"/>
  <c r="J4" i="155"/>
  <c r="BT3" i="155"/>
  <c r="BP3" i="155"/>
  <c r="BL3" i="155"/>
  <c r="BH3" i="155"/>
  <c r="BD3" i="155"/>
  <c r="AZ3" i="155"/>
  <c r="AV3" i="155"/>
  <c r="AR3" i="155"/>
  <c r="AN3" i="155"/>
  <c r="AJ3" i="155"/>
  <c r="AF3" i="155"/>
  <c r="AB3" i="155"/>
  <c r="X3" i="155"/>
  <c r="T3" i="155"/>
  <c r="P3" i="155"/>
  <c r="L3" i="155"/>
  <c r="J3" i="155"/>
  <c r="J2" i="155"/>
  <c r="F1" i="155"/>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I8" i="2"/>
  <c r="AI9" i="2"/>
  <c r="AI10" i="2"/>
  <c r="AI11" i="2"/>
  <c r="AI12" i="2"/>
  <c r="AI13" i="2"/>
  <c r="AI14" i="2"/>
  <c r="AI15" i="2"/>
  <c r="AI16" i="2"/>
  <c r="AI17" i="2"/>
  <c r="AI18" i="2"/>
  <c r="AI19" i="2"/>
  <c r="AI20" i="2"/>
  <c r="AI21" i="2"/>
  <c r="AI22" i="2"/>
  <c r="AI23" i="2"/>
  <c r="AI24" i="2"/>
  <c r="AI25" i="2"/>
  <c r="AI26" i="2"/>
  <c r="AI27" i="2"/>
  <c r="AI28" i="2"/>
  <c r="AI29" i="2"/>
  <c r="AI30" i="2"/>
  <c r="AI31" i="2"/>
  <c r="AI32" i="2"/>
  <c r="AI33" i="2"/>
  <c r="AI34" i="2"/>
  <c r="AI35" i="2"/>
  <c r="AI36" i="2"/>
  <c r="AI37" i="2"/>
  <c r="AI38" i="2"/>
  <c r="AI39" i="2"/>
  <c r="AI40" i="2"/>
  <c r="AI41" i="2"/>
  <c r="AI42" i="2"/>
  <c r="AI43" i="2"/>
  <c r="AI44"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M8" i="2"/>
  <c r="AM9" i="2"/>
  <c r="AM10" i="2"/>
  <c r="AM11" i="2"/>
  <c r="AM12" i="2"/>
  <c r="AM13" i="2"/>
  <c r="AM14" i="2"/>
  <c r="AM15" i="2"/>
  <c r="AM16" i="2"/>
  <c r="AM17" i="2"/>
  <c r="AM18" i="2"/>
  <c r="AM19" i="2"/>
  <c r="AM20" i="2"/>
  <c r="AM21" i="2"/>
  <c r="AM22" i="2"/>
  <c r="AM23" i="2"/>
  <c r="AM24" i="2"/>
  <c r="AM25" i="2"/>
  <c r="AM26" i="2"/>
  <c r="AM27" i="2"/>
  <c r="AM28" i="2"/>
  <c r="AM29" i="2"/>
  <c r="AM30" i="2"/>
  <c r="AM31" i="2"/>
  <c r="AM32" i="2"/>
  <c r="AM33" i="2"/>
  <c r="AM34" i="2"/>
  <c r="AM35" i="2"/>
  <c r="AM36" i="2"/>
  <c r="AM37" i="2"/>
  <c r="AM38" i="2"/>
  <c r="AM39" i="2"/>
  <c r="AM40" i="2"/>
  <c r="AM41" i="2"/>
  <c r="AM42" i="2"/>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70" i="2"/>
  <c r="AM71" i="2"/>
  <c r="AM72" i="2"/>
  <c r="AM73" i="2"/>
  <c r="AM74" i="2"/>
  <c r="AM75" i="2"/>
  <c r="AM76" i="2"/>
  <c r="AM77" i="2"/>
  <c r="AM78" i="2"/>
  <c r="AM79" i="2"/>
  <c r="AM80" i="2"/>
  <c r="AM81" i="2"/>
  <c r="AM82" i="2"/>
  <c r="AQ8" i="2"/>
  <c r="AQ9" i="2"/>
  <c r="AQ10" i="2"/>
  <c r="AQ11" i="2"/>
  <c r="AQ12" i="2"/>
  <c r="AQ13" i="2"/>
  <c r="AQ14" i="2"/>
  <c r="AQ15" i="2"/>
  <c r="AQ16" i="2"/>
  <c r="AQ17" i="2"/>
  <c r="AQ18" i="2"/>
  <c r="AQ19" i="2"/>
  <c r="AQ20" i="2"/>
  <c r="AQ21" i="2"/>
  <c r="AQ22" i="2"/>
  <c r="AQ23" i="2"/>
  <c r="AQ24" i="2"/>
  <c r="AQ25" i="2"/>
  <c r="AQ26" i="2"/>
  <c r="AQ27" i="2"/>
  <c r="AQ28" i="2"/>
  <c r="AQ29" i="2"/>
  <c r="AQ30" i="2"/>
  <c r="AQ31" i="2"/>
  <c r="AQ32" i="2"/>
  <c r="AQ33" i="2"/>
  <c r="AQ34" i="2"/>
  <c r="AQ35" i="2"/>
  <c r="AQ36" i="2"/>
  <c r="AQ37" i="2"/>
  <c r="AQ38" i="2"/>
  <c r="AQ39" i="2"/>
  <c r="AQ40" i="2"/>
  <c r="AQ41" i="2"/>
  <c r="AQ42" i="2"/>
  <c r="AQ43" i="2"/>
  <c r="AQ44" i="2"/>
  <c r="AQ45" i="2"/>
  <c r="AQ46" i="2"/>
  <c r="AQ47" i="2"/>
  <c r="AQ48" i="2"/>
  <c r="AQ49" i="2"/>
  <c r="AQ50" i="2"/>
  <c r="AQ51" i="2"/>
  <c r="AQ52" i="2"/>
  <c r="AQ53" i="2"/>
  <c r="AQ54" i="2"/>
  <c r="AQ55" i="2"/>
  <c r="AQ56" i="2"/>
  <c r="AQ57" i="2"/>
  <c r="AQ58" i="2"/>
  <c r="AQ59" i="2"/>
  <c r="AQ60" i="2"/>
  <c r="AQ61" i="2"/>
  <c r="AQ62" i="2"/>
  <c r="AQ63" i="2"/>
  <c r="AQ64" i="2"/>
  <c r="AQ65" i="2"/>
  <c r="AQ66" i="2"/>
  <c r="AQ67" i="2"/>
  <c r="AQ68" i="2"/>
  <c r="AQ69" i="2"/>
  <c r="AQ70" i="2"/>
  <c r="AQ71" i="2"/>
  <c r="AQ72" i="2"/>
  <c r="AQ73" i="2"/>
  <c r="AQ74" i="2"/>
  <c r="AQ75" i="2"/>
  <c r="AQ76" i="2"/>
  <c r="AQ77" i="2"/>
  <c r="AQ78" i="2"/>
  <c r="AQ79" i="2"/>
  <c r="AQ80" i="2"/>
  <c r="AQ81" i="2"/>
  <c r="AQ82" i="2"/>
  <c r="AU8" i="2"/>
  <c r="AU9" i="2"/>
  <c r="AU10" i="2"/>
  <c r="AU11" i="2"/>
  <c r="AU12" i="2"/>
  <c r="AU13" i="2"/>
  <c r="AU14" i="2"/>
  <c r="AU15" i="2"/>
  <c r="AU16" i="2"/>
  <c r="AU17" i="2"/>
  <c r="AU18" i="2"/>
  <c r="AU19" i="2"/>
  <c r="AU20" i="2"/>
  <c r="AU21" i="2"/>
  <c r="AU22" i="2"/>
  <c r="AU23" i="2"/>
  <c r="AU24" i="2"/>
  <c r="AU25" i="2"/>
  <c r="AU26" i="2"/>
  <c r="AU27" i="2"/>
  <c r="AU28" i="2"/>
  <c r="AU29" i="2"/>
  <c r="AU30" i="2"/>
  <c r="AU31" i="2"/>
  <c r="AU32" i="2"/>
  <c r="AU33" i="2"/>
  <c r="AU34" i="2"/>
  <c r="AU35" i="2"/>
  <c r="AU36" i="2"/>
  <c r="AU37" i="2"/>
  <c r="AU38" i="2"/>
  <c r="AU39" i="2"/>
  <c r="AU40" i="2"/>
  <c r="AU41" i="2"/>
  <c r="AU42" i="2"/>
  <c r="AU43" i="2"/>
  <c r="AU44" i="2"/>
  <c r="AU45" i="2"/>
  <c r="AU46" i="2"/>
  <c r="AU47" i="2"/>
  <c r="AU48" i="2"/>
  <c r="AU49" i="2"/>
  <c r="AU50" i="2"/>
  <c r="AU51" i="2"/>
  <c r="AU52" i="2"/>
  <c r="AU53" i="2"/>
  <c r="AU54" i="2"/>
  <c r="AU55" i="2"/>
  <c r="AU56" i="2"/>
  <c r="AU57" i="2"/>
  <c r="AU58" i="2"/>
  <c r="AU59" i="2"/>
  <c r="AU60" i="2"/>
  <c r="AU61" i="2"/>
  <c r="AU62" i="2"/>
  <c r="AU63" i="2"/>
  <c r="AU64" i="2"/>
  <c r="AU65" i="2"/>
  <c r="AU66" i="2"/>
  <c r="AU67" i="2"/>
  <c r="AU68" i="2"/>
  <c r="AU69" i="2"/>
  <c r="AU70" i="2"/>
  <c r="AU71" i="2"/>
  <c r="AU72" i="2"/>
  <c r="AU73" i="2"/>
  <c r="AU74" i="2"/>
  <c r="AU75" i="2"/>
  <c r="AU76" i="2"/>
  <c r="AU77" i="2"/>
  <c r="AU78" i="2"/>
  <c r="AU79" i="2"/>
  <c r="AU80" i="2"/>
  <c r="AU81" i="2"/>
  <c r="AU82" i="2"/>
  <c r="AY82" i="2"/>
  <c r="AY8" i="2"/>
  <c r="AY9" i="2"/>
  <c r="AY10" i="2"/>
  <c r="AY11" i="2"/>
  <c r="AY12" i="2"/>
  <c r="AY13" i="2"/>
  <c r="AY14" i="2"/>
  <c r="AY15" i="2"/>
  <c r="AY16" i="2"/>
  <c r="AY17" i="2"/>
  <c r="AY18" i="2"/>
  <c r="AY19" i="2"/>
  <c r="AY20" i="2"/>
  <c r="AY21" i="2"/>
  <c r="AY22" i="2"/>
  <c r="AY23" i="2"/>
  <c r="AY24" i="2"/>
  <c r="AY25" i="2"/>
  <c r="AY26" i="2"/>
  <c r="AY27" i="2"/>
  <c r="AY28" i="2"/>
  <c r="AY29" i="2"/>
  <c r="AY30" i="2"/>
  <c r="AY31" i="2"/>
  <c r="AY32" i="2"/>
  <c r="AY33" i="2"/>
  <c r="AY34" i="2"/>
  <c r="AY35" i="2"/>
  <c r="AY36" i="2"/>
  <c r="AY37" i="2"/>
  <c r="AY38" i="2"/>
  <c r="AY39" i="2"/>
  <c r="AY40" i="2"/>
  <c r="AY41" i="2"/>
  <c r="AY42" i="2"/>
  <c r="AY43" i="2"/>
  <c r="AY44" i="2"/>
  <c r="AY45" i="2"/>
  <c r="AY46" i="2"/>
  <c r="AY47" i="2"/>
  <c r="AY48" i="2"/>
  <c r="AY49" i="2"/>
  <c r="AY50" i="2"/>
  <c r="AY51" i="2"/>
  <c r="AY52" i="2"/>
  <c r="AY53" i="2"/>
  <c r="AY54" i="2"/>
  <c r="AY55"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BC8" i="2"/>
  <c r="BC9" i="2"/>
  <c r="BC10" i="2"/>
  <c r="BC11" i="2"/>
  <c r="BC12" i="2"/>
  <c r="BC13" i="2"/>
  <c r="BC14" i="2"/>
  <c r="BC15" i="2"/>
  <c r="BC16" i="2"/>
  <c r="BC17" i="2"/>
  <c r="BC18" i="2"/>
  <c r="BC19" i="2"/>
  <c r="BC20" i="2"/>
  <c r="BC21" i="2"/>
  <c r="BC22" i="2"/>
  <c r="BC23" i="2"/>
  <c r="BC24" i="2"/>
  <c r="BC25" i="2"/>
  <c r="BC26" i="2"/>
  <c r="BC27" i="2"/>
  <c r="BC28" i="2"/>
  <c r="BC29" i="2"/>
  <c r="BC30" i="2"/>
  <c r="BC31" i="2"/>
  <c r="BC32" i="2"/>
  <c r="BC33" i="2"/>
  <c r="BC34" i="2"/>
  <c r="BC35" i="2"/>
  <c r="BC36" i="2"/>
  <c r="BC37" i="2"/>
  <c r="BC38" i="2"/>
  <c r="BC39" i="2"/>
  <c r="BC40" i="2"/>
  <c r="BC41" i="2"/>
  <c r="BC42" i="2"/>
  <c r="BC43" i="2"/>
  <c r="BC44" i="2"/>
  <c r="BC45" i="2"/>
  <c r="BC46" i="2"/>
  <c r="BC47" i="2"/>
  <c r="BC48" i="2"/>
  <c r="BC49" i="2"/>
  <c r="BC50"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G8" i="2"/>
  <c r="BG9" i="2"/>
  <c r="BG10" i="2"/>
  <c r="BG11" i="2"/>
  <c r="BG12" i="2"/>
  <c r="BG13" i="2"/>
  <c r="BG14" i="2"/>
  <c r="BG15" i="2"/>
  <c r="BG16" i="2"/>
  <c r="BG17" i="2"/>
  <c r="BG18" i="2"/>
  <c r="BG19" i="2"/>
  <c r="BG20" i="2"/>
  <c r="BG21" i="2"/>
  <c r="BG22" i="2"/>
  <c r="BG23" i="2"/>
  <c r="BG24" i="2"/>
  <c r="BG25" i="2"/>
  <c r="BG26" i="2"/>
  <c r="BG27" i="2"/>
  <c r="BG28" i="2"/>
  <c r="BG29" i="2"/>
  <c r="BG30" i="2"/>
  <c r="BG31" i="2"/>
  <c r="BG32" i="2"/>
  <c r="BG33" i="2"/>
  <c r="BG34" i="2"/>
  <c r="BG35" i="2"/>
  <c r="BG36" i="2"/>
  <c r="BG37" i="2"/>
  <c r="BG38" i="2"/>
  <c r="BG39" i="2"/>
  <c r="BG40" i="2"/>
  <c r="BG41" i="2"/>
  <c r="BG42" i="2"/>
  <c r="BG43" i="2"/>
  <c r="BG44" i="2"/>
  <c r="BG45" i="2"/>
  <c r="BG46" i="2"/>
  <c r="BG47" i="2"/>
  <c r="BG48" i="2"/>
  <c r="BG49" i="2"/>
  <c r="BG50" i="2"/>
  <c r="BG51" i="2"/>
  <c r="BG52" i="2"/>
  <c r="BG53" i="2"/>
  <c r="BG54" i="2"/>
  <c r="BG55" i="2"/>
  <c r="BG56" i="2"/>
  <c r="BG57" i="2"/>
  <c r="BG58" i="2"/>
  <c r="BG59" i="2"/>
  <c r="BG60" i="2"/>
  <c r="BG61" i="2"/>
  <c r="BG62" i="2"/>
  <c r="BG63" i="2"/>
  <c r="BG64" i="2"/>
  <c r="BG65" i="2"/>
  <c r="BG66" i="2"/>
  <c r="BG67" i="2"/>
  <c r="BG68" i="2"/>
  <c r="BG69" i="2"/>
  <c r="BG70" i="2"/>
  <c r="BG71" i="2"/>
  <c r="BG72" i="2"/>
  <c r="BG73" i="2"/>
  <c r="BG74" i="2"/>
  <c r="BG75" i="2"/>
  <c r="BG76" i="2"/>
  <c r="BG77" i="2"/>
  <c r="BG78" i="2"/>
  <c r="BG79" i="2"/>
  <c r="BG80" i="2"/>
  <c r="BG81" i="2"/>
  <c r="BG82" i="2"/>
  <c r="BK8" i="2"/>
  <c r="BK9" i="2"/>
  <c r="BK10" i="2"/>
  <c r="BK11" i="2"/>
  <c r="BK12" i="2"/>
  <c r="BK13" i="2"/>
  <c r="BK14" i="2"/>
  <c r="BK15" i="2"/>
  <c r="BK16" i="2"/>
  <c r="BK17" i="2"/>
  <c r="BK18" i="2"/>
  <c r="BK19" i="2"/>
  <c r="BK20" i="2"/>
  <c r="BK21" i="2"/>
  <c r="BK22" i="2"/>
  <c r="BK23" i="2"/>
  <c r="BK24" i="2"/>
  <c r="BK25" i="2"/>
  <c r="BK26" i="2"/>
  <c r="BK27" i="2"/>
  <c r="BK28" i="2"/>
  <c r="BK29" i="2"/>
  <c r="BK30" i="2"/>
  <c r="BK31" i="2"/>
  <c r="BK32" i="2"/>
  <c r="BK33" i="2"/>
  <c r="BK34" i="2"/>
  <c r="BK35" i="2"/>
  <c r="BK36" i="2"/>
  <c r="BK37" i="2"/>
  <c r="BK38" i="2"/>
  <c r="BK39" i="2"/>
  <c r="BK40" i="2"/>
  <c r="BK41" i="2"/>
  <c r="BK42" i="2"/>
  <c r="BK43" i="2"/>
  <c r="BK44" i="2"/>
  <c r="BK45" i="2"/>
  <c r="BK46" i="2"/>
  <c r="BK47" i="2"/>
  <c r="BK48" i="2"/>
  <c r="BK49" i="2"/>
  <c r="BK50" i="2"/>
  <c r="BK51" i="2"/>
  <c r="BK52" i="2"/>
  <c r="BK53" i="2"/>
  <c r="BK54" i="2"/>
  <c r="BK55" i="2"/>
  <c r="BK56" i="2"/>
  <c r="BK57" i="2"/>
  <c r="BK58" i="2"/>
  <c r="BK59" i="2"/>
  <c r="BK60" i="2"/>
  <c r="BK61" i="2"/>
  <c r="BK62" i="2"/>
  <c r="BK63" i="2"/>
  <c r="BK64" i="2"/>
  <c r="BK65" i="2"/>
  <c r="BK66" i="2"/>
  <c r="BK67" i="2"/>
  <c r="BK68" i="2"/>
  <c r="BK69" i="2"/>
  <c r="BK70" i="2"/>
  <c r="BK71" i="2"/>
  <c r="BK72" i="2"/>
  <c r="BK73" i="2"/>
  <c r="BK74" i="2"/>
  <c r="BK75" i="2"/>
  <c r="BK76" i="2"/>
  <c r="BK77" i="2"/>
  <c r="BK78" i="2"/>
  <c r="BK79" i="2"/>
  <c r="BK80" i="2"/>
  <c r="BK81" i="2"/>
  <c r="BK82" i="2"/>
  <c r="BO82" i="2"/>
  <c r="BO8" i="2"/>
  <c r="BO9" i="2"/>
  <c r="BO10" i="2"/>
  <c r="BO11" i="2"/>
  <c r="BO12" i="2"/>
  <c r="BO13" i="2"/>
  <c r="BO14" i="2"/>
  <c r="BO15" i="2"/>
  <c r="BO16" i="2"/>
  <c r="BO17" i="2"/>
  <c r="BO18" i="2"/>
  <c r="BO19" i="2"/>
  <c r="BO20" i="2"/>
  <c r="BO21" i="2"/>
  <c r="BO22" i="2"/>
  <c r="BO23" i="2"/>
  <c r="BO24" i="2"/>
  <c r="BO25" i="2"/>
  <c r="BO26" i="2"/>
  <c r="BO27" i="2"/>
  <c r="BO28" i="2"/>
  <c r="BO29" i="2"/>
  <c r="BO30" i="2"/>
  <c r="BO31" i="2"/>
  <c r="BO32" i="2"/>
  <c r="BO33" i="2"/>
  <c r="BO34" i="2"/>
  <c r="BO35" i="2"/>
  <c r="BO36" i="2"/>
  <c r="BO37" i="2"/>
  <c r="BO38" i="2"/>
  <c r="BO39" i="2"/>
  <c r="BO40" i="2"/>
  <c r="BO41" i="2"/>
  <c r="BO42" i="2"/>
  <c r="BO43" i="2"/>
  <c r="BO44" i="2"/>
  <c r="BO45" i="2"/>
  <c r="BO46" i="2"/>
  <c r="BO47" i="2"/>
  <c r="BO48" i="2"/>
  <c r="BO49" i="2"/>
  <c r="BO50" i="2"/>
  <c r="BO51" i="2"/>
  <c r="BO52" i="2"/>
  <c r="BO53" i="2"/>
  <c r="BO54" i="2"/>
  <c r="BO55" i="2"/>
  <c r="BO56" i="2"/>
  <c r="BO57" i="2"/>
  <c r="BO58" i="2"/>
  <c r="BO59" i="2"/>
  <c r="BO60" i="2"/>
  <c r="BO61" i="2"/>
  <c r="BO62" i="2"/>
  <c r="BO63" i="2"/>
  <c r="BO64" i="2"/>
  <c r="BO65" i="2"/>
  <c r="BO66" i="2"/>
  <c r="BO67" i="2"/>
  <c r="BO68" i="2"/>
  <c r="BO69" i="2"/>
  <c r="BO70" i="2"/>
  <c r="BO71" i="2"/>
  <c r="BO72" i="2"/>
  <c r="BO73" i="2"/>
  <c r="BO74" i="2"/>
  <c r="BO75" i="2"/>
  <c r="BO76" i="2"/>
  <c r="BO77" i="2"/>
  <c r="BO78" i="2"/>
  <c r="BO79" i="2"/>
  <c r="BO80" i="2"/>
  <c r="BO81" i="2"/>
  <c r="BW82" i="2"/>
  <c r="BS82" i="2"/>
  <c r="BS8" i="2"/>
  <c r="BS9" i="2"/>
  <c r="BS10" i="2"/>
  <c r="BS11" i="2"/>
  <c r="BS12" i="2"/>
  <c r="BS13" i="2"/>
  <c r="BS14" i="2"/>
  <c r="BS15" i="2"/>
  <c r="BS16" i="2"/>
  <c r="BS17" i="2"/>
  <c r="BS18" i="2"/>
  <c r="BS19" i="2"/>
  <c r="BS20" i="2"/>
  <c r="BS21" i="2"/>
  <c r="BS22" i="2"/>
  <c r="BS23" i="2"/>
  <c r="BS24" i="2"/>
  <c r="BS25" i="2"/>
  <c r="BS26" i="2"/>
  <c r="BS27" i="2"/>
  <c r="BS28" i="2"/>
  <c r="BS29" i="2"/>
  <c r="BS30" i="2"/>
  <c r="BS31" i="2"/>
  <c r="BS32" i="2"/>
  <c r="BS33" i="2"/>
  <c r="BS34" i="2"/>
  <c r="BS35" i="2"/>
  <c r="BS36" i="2"/>
  <c r="BS37" i="2"/>
  <c r="BS38" i="2"/>
  <c r="BS39" i="2"/>
  <c r="BS40" i="2"/>
  <c r="BS41" i="2"/>
  <c r="BS42" i="2"/>
  <c r="BS43" i="2"/>
  <c r="BS44" i="2"/>
  <c r="BS45" i="2"/>
  <c r="BS46" i="2"/>
  <c r="BS47" i="2"/>
  <c r="BS48" i="2"/>
  <c r="BS49" i="2"/>
  <c r="BS50" i="2"/>
  <c r="BS51" i="2"/>
  <c r="BS52" i="2"/>
  <c r="BS53" i="2"/>
  <c r="BS54" i="2"/>
  <c r="BS55" i="2"/>
  <c r="BS56" i="2"/>
  <c r="BS57" i="2"/>
  <c r="BS58" i="2"/>
  <c r="BS59" i="2"/>
  <c r="BS60" i="2"/>
  <c r="BS61" i="2"/>
  <c r="BS62" i="2"/>
  <c r="BS63" i="2"/>
  <c r="BS64" i="2"/>
  <c r="BS65" i="2"/>
  <c r="BS66" i="2"/>
  <c r="BS67" i="2"/>
  <c r="BS68" i="2"/>
  <c r="BS69" i="2"/>
  <c r="BS70" i="2"/>
  <c r="BS71" i="2"/>
  <c r="BS72" i="2"/>
  <c r="BS73" i="2"/>
  <c r="BS74" i="2"/>
  <c r="BS75" i="2"/>
  <c r="BS76" i="2"/>
  <c r="BS77" i="2"/>
  <c r="BS78" i="2"/>
  <c r="BS79" i="2"/>
  <c r="BS80" i="2"/>
  <c r="BS81" i="2"/>
  <c r="BW8" i="2"/>
  <c r="BW9" i="2"/>
  <c r="BW10" i="2"/>
  <c r="BW11" i="2"/>
  <c r="BW12" i="2"/>
  <c r="BW13" i="2"/>
  <c r="BW14" i="2"/>
  <c r="BW15" i="2"/>
  <c r="BW16" i="2"/>
  <c r="BW17" i="2"/>
  <c r="BW18" i="2"/>
  <c r="BW19" i="2"/>
  <c r="BW20" i="2"/>
  <c r="BW21" i="2"/>
  <c r="BW22" i="2"/>
  <c r="BW23" i="2"/>
  <c r="BW24" i="2"/>
  <c r="BW25" i="2"/>
  <c r="BW26" i="2"/>
  <c r="BW27" i="2"/>
  <c r="BW28" i="2"/>
  <c r="BW29" i="2"/>
  <c r="BW30" i="2"/>
  <c r="BW31" i="2"/>
  <c r="BW32" i="2"/>
  <c r="BW33" i="2"/>
  <c r="BW34" i="2"/>
  <c r="BW35" i="2"/>
  <c r="BW36" i="2"/>
  <c r="BW37" i="2"/>
  <c r="BW38" i="2"/>
  <c r="BW39" i="2"/>
  <c r="BW40" i="2"/>
  <c r="BW41" i="2"/>
  <c r="BW42" i="2"/>
  <c r="BW43" i="2"/>
  <c r="BW44" i="2"/>
  <c r="BW45" i="2"/>
  <c r="BW46" i="2"/>
  <c r="BW47" i="2"/>
  <c r="BW48" i="2"/>
  <c r="BW49" i="2"/>
  <c r="BW50" i="2"/>
  <c r="BW51" i="2"/>
  <c r="BW52" i="2"/>
  <c r="BW53" i="2"/>
  <c r="BW54" i="2"/>
  <c r="BW55" i="2"/>
  <c r="BW56" i="2"/>
  <c r="BW57" i="2"/>
  <c r="BW58" i="2"/>
  <c r="BW59" i="2"/>
  <c r="BW60" i="2"/>
  <c r="BW61" i="2"/>
  <c r="BW62" i="2"/>
  <c r="BW63" i="2"/>
  <c r="BW64" i="2"/>
  <c r="BW65" i="2"/>
  <c r="BW66" i="2"/>
  <c r="BW67" i="2"/>
  <c r="BW68" i="2"/>
  <c r="BW69" i="2"/>
  <c r="BW70" i="2"/>
  <c r="BW71" i="2"/>
  <c r="BW72" i="2"/>
  <c r="BW73" i="2"/>
  <c r="BW74" i="2"/>
  <c r="BW75" i="2"/>
  <c r="BW76" i="2"/>
  <c r="BW77" i="2"/>
  <c r="BW78" i="2"/>
  <c r="BW79" i="2"/>
  <c r="BW80" i="2"/>
  <c r="BW81" i="2"/>
  <c r="BW7" i="2"/>
  <c r="BS7" i="2"/>
  <c r="BO7" i="2"/>
  <c r="BK7" i="2"/>
  <c r="BG7" i="2"/>
  <c r="BC7" i="2"/>
  <c r="AY7" i="2"/>
  <c r="AU7" i="2"/>
  <c r="AQ7" i="2"/>
  <c r="AE7" i="2"/>
  <c r="AI7" i="2"/>
  <c r="AM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7" i="2"/>
  <c r="S12" i="2"/>
  <c r="S8" i="2"/>
  <c r="S9" i="2"/>
  <c r="S10" i="2"/>
  <c r="S11"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7" i="2"/>
  <c r="T4" i="163" l="1"/>
  <c r="AR4" i="163"/>
  <c r="BP4" i="163"/>
  <c r="Z6" i="163"/>
  <c r="AA6" i="163" s="1"/>
  <c r="AX6" i="163"/>
  <c r="AY6" i="163" s="1"/>
  <c r="BV6" i="163"/>
  <c r="BW6" i="163" s="1"/>
  <c r="AB4" i="163"/>
  <c r="AZ4" i="163"/>
  <c r="AC6" i="163"/>
  <c r="BA6" i="163"/>
  <c r="P5" i="163"/>
  <c r="S5" i="163" s="1"/>
  <c r="AN5" i="163"/>
  <c r="AQ5" i="163" s="1"/>
  <c r="BL5" i="163"/>
  <c r="BO5" i="163" s="1"/>
  <c r="R6" i="163"/>
  <c r="S6" i="163" s="1"/>
  <c r="AD6" i="163"/>
  <c r="AE6" i="163" s="1"/>
  <c r="AP6" i="163"/>
  <c r="AQ6" i="163" s="1"/>
  <c r="BB6" i="163"/>
  <c r="BC6" i="163" s="1"/>
  <c r="BN6" i="163"/>
  <c r="BO6" i="163" s="1"/>
  <c r="AF4" i="163"/>
  <c r="BD4" i="163"/>
  <c r="T5" i="163"/>
  <c r="W5" i="163" s="1"/>
  <c r="AR5" i="163"/>
  <c r="AU5" i="163" s="1"/>
  <c r="BP5" i="163"/>
  <c r="BS5" i="163" s="1"/>
  <c r="T6" i="163"/>
  <c r="AR6" i="163"/>
  <c r="BP6" i="163"/>
  <c r="U6" i="163"/>
  <c r="AG6" i="163"/>
  <c r="AS6" i="163"/>
  <c r="BE6" i="163"/>
  <c r="BQ6" i="163"/>
  <c r="AN4" i="162"/>
  <c r="AB5" i="162"/>
  <c r="AE5" i="162" s="1"/>
  <c r="AZ5" i="162"/>
  <c r="BC5" i="162" s="1"/>
  <c r="L6" i="162"/>
  <c r="X6" i="162"/>
  <c r="AJ6" i="162"/>
  <c r="AV6" i="162"/>
  <c r="BH6" i="162"/>
  <c r="BT6" i="162"/>
  <c r="M6" i="162"/>
  <c r="Y6" i="162"/>
  <c r="AK6" i="162"/>
  <c r="AW6" i="162"/>
  <c r="BI6" i="162"/>
  <c r="BU6" i="162"/>
  <c r="AF5" i="162"/>
  <c r="AI5" i="162" s="1"/>
  <c r="BD5" i="162"/>
  <c r="BG5" i="162" s="1"/>
  <c r="N6" i="162"/>
  <c r="O6" i="162" s="1"/>
  <c r="AL6" i="162"/>
  <c r="AM6" i="162" s="1"/>
  <c r="BJ6" i="162"/>
  <c r="BK6" i="162" s="1"/>
  <c r="AB4" i="162"/>
  <c r="AZ4" i="162"/>
  <c r="Q6" i="162"/>
  <c r="AC6" i="162"/>
  <c r="AO6" i="162"/>
  <c r="BA6" i="162"/>
  <c r="BM6" i="162"/>
  <c r="AB6" i="162"/>
  <c r="P5" i="162"/>
  <c r="S5" i="162" s="1"/>
  <c r="AN5" i="162"/>
  <c r="AQ5" i="162" s="1"/>
  <c r="BL5" i="162"/>
  <c r="BO5" i="162" s="1"/>
  <c r="R6" i="162"/>
  <c r="S6" i="162" s="1"/>
  <c r="BN6" i="162"/>
  <c r="BO6" i="162" s="1"/>
  <c r="AF4" i="162"/>
  <c r="BD4" i="162"/>
  <c r="AB6" i="161"/>
  <c r="AZ5" i="161"/>
  <c r="BC5" i="161" s="1"/>
  <c r="T4" i="161"/>
  <c r="AR4" i="161"/>
  <c r="BP4" i="161"/>
  <c r="M6" i="161"/>
  <c r="AK6" i="161"/>
  <c r="BI6" i="161"/>
  <c r="AB5" i="161"/>
  <c r="AE5" i="161" s="1"/>
  <c r="AF5" i="161"/>
  <c r="AI5" i="161" s="1"/>
  <c r="BD5" i="161"/>
  <c r="BG5" i="161" s="1"/>
  <c r="BA6" i="161"/>
  <c r="AD6" i="161"/>
  <c r="AE6" i="161" s="1"/>
  <c r="BB6" i="161"/>
  <c r="BC6" i="161" s="1"/>
  <c r="AZ6" i="161"/>
  <c r="AF4" i="161"/>
  <c r="BD4" i="161"/>
  <c r="AC6" i="161"/>
  <c r="T5" i="161"/>
  <c r="W5" i="161" s="1"/>
  <c r="AR5" i="161"/>
  <c r="AU5" i="161" s="1"/>
  <c r="BP5" i="161"/>
  <c r="BS5" i="161" s="1"/>
  <c r="T6" i="161"/>
  <c r="AF6" i="161"/>
  <c r="AR6" i="161"/>
  <c r="BD6" i="161"/>
  <c r="BP6" i="161"/>
  <c r="U6" i="161"/>
  <c r="AG6" i="161"/>
  <c r="AS6" i="161"/>
  <c r="BE6" i="161"/>
  <c r="BQ6" i="161"/>
  <c r="Z6" i="160"/>
  <c r="AA6" i="160" s="1"/>
  <c r="AX6" i="160"/>
  <c r="AY6" i="160" s="1"/>
  <c r="AB5" i="160"/>
  <c r="AE5" i="160" s="1"/>
  <c r="AZ5" i="160"/>
  <c r="BC5" i="160" s="1"/>
  <c r="L6" i="160"/>
  <c r="X6" i="160"/>
  <c r="AJ6" i="160"/>
  <c r="AV6" i="160"/>
  <c r="BH6" i="160"/>
  <c r="BT6" i="160"/>
  <c r="BV6" i="160"/>
  <c r="BW6" i="160" s="1"/>
  <c r="M6" i="160"/>
  <c r="Y6" i="160"/>
  <c r="AK6" i="160"/>
  <c r="AW6" i="160"/>
  <c r="BI6" i="160"/>
  <c r="BU6" i="160"/>
  <c r="X4" i="160"/>
  <c r="AV4" i="160"/>
  <c r="BT4" i="160"/>
  <c r="AB6" i="160"/>
  <c r="AZ6" i="160"/>
  <c r="AB4" i="160"/>
  <c r="AZ4" i="160"/>
  <c r="Q6" i="160"/>
  <c r="AO6" i="160"/>
  <c r="BA6" i="160"/>
  <c r="BM6" i="160"/>
  <c r="AF6" i="160"/>
  <c r="BD6" i="160"/>
  <c r="AG6" i="160"/>
  <c r="BE6" i="160"/>
  <c r="T4" i="159"/>
  <c r="AR4" i="159"/>
  <c r="BP4" i="159"/>
  <c r="M6" i="159"/>
  <c r="Y6" i="159"/>
  <c r="AK6" i="159"/>
  <c r="AW6" i="159"/>
  <c r="BI6" i="159"/>
  <c r="BU6" i="159"/>
  <c r="AF5" i="159"/>
  <c r="AI5" i="159" s="1"/>
  <c r="BD5" i="159"/>
  <c r="BG5" i="159" s="1"/>
  <c r="N6" i="159"/>
  <c r="O6" i="159" s="1"/>
  <c r="Z6" i="159"/>
  <c r="AA6" i="159" s="1"/>
  <c r="AL6" i="159"/>
  <c r="AM6" i="159" s="1"/>
  <c r="AX6" i="159"/>
  <c r="AY6" i="159" s="1"/>
  <c r="BJ6" i="159"/>
  <c r="BK6" i="159" s="1"/>
  <c r="BV6" i="159"/>
  <c r="BW6" i="159" s="1"/>
  <c r="X4" i="159"/>
  <c r="AV4" i="159"/>
  <c r="BT4" i="159"/>
  <c r="L5" i="159"/>
  <c r="O5" i="159" s="1"/>
  <c r="AJ5" i="159"/>
  <c r="AM5" i="159" s="1"/>
  <c r="BH5" i="159"/>
  <c r="BK5" i="159" s="1"/>
  <c r="P6" i="159"/>
  <c r="AB6" i="159"/>
  <c r="AN6" i="159"/>
  <c r="AZ6" i="159"/>
  <c r="BL6" i="159"/>
  <c r="AB4" i="159"/>
  <c r="AZ4" i="159"/>
  <c r="Q6" i="159"/>
  <c r="AO6" i="159"/>
  <c r="BM6" i="159"/>
  <c r="BD4" i="159"/>
  <c r="T5" i="159"/>
  <c r="W5" i="159" s="1"/>
  <c r="BP5" i="159"/>
  <c r="BS5" i="159" s="1"/>
  <c r="AR6" i="159"/>
  <c r="U6" i="159"/>
  <c r="AG6" i="159"/>
  <c r="AS6" i="159"/>
  <c r="BE6" i="159"/>
  <c r="BQ6" i="159"/>
  <c r="AF4" i="159"/>
  <c r="V6" i="159"/>
  <c r="W6" i="159" s="1"/>
  <c r="AH6" i="159"/>
  <c r="AI6" i="159" s="1"/>
  <c r="AT6" i="159"/>
  <c r="AU6" i="159" s="1"/>
  <c r="BF6" i="159"/>
  <c r="BG6" i="159" s="1"/>
  <c r="BR6" i="159"/>
  <c r="BS6" i="159" s="1"/>
  <c r="AR4" i="158"/>
  <c r="BP4" i="158"/>
  <c r="AF5" i="158"/>
  <c r="AI5" i="158" s="1"/>
  <c r="BD5" i="158"/>
  <c r="BG5" i="158" s="1"/>
  <c r="N6" i="158"/>
  <c r="O6" i="158" s="1"/>
  <c r="Z6" i="158"/>
  <c r="AA6" i="158" s="1"/>
  <c r="AL6" i="158"/>
  <c r="AM6" i="158" s="1"/>
  <c r="AX6" i="158"/>
  <c r="AY6" i="158" s="1"/>
  <c r="BJ6" i="158"/>
  <c r="BK6" i="158" s="1"/>
  <c r="T4" i="158"/>
  <c r="L5" i="158"/>
  <c r="O5" i="158" s="1"/>
  <c r="AJ5" i="158"/>
  <c r="AM5" i="158" s="1"/>
  <c r="BH5" i="158"/>
  <c r="BK5" i="158" s="1"/>
  <c r="P6" i="158"/>
  <c r="AB6" i="158"/>
  <c r="AN6" i="158"/>
  <c r="AZ6" i="158"/>
  <c r="BL6" i="158"/>
  <c r="AB4" i="158"/>
  <c r="AZ4" i="158"/>
  <c r="Q6" i="158"/>
  <c r="AO6" i="158"/>
  <c r="BM6" i="158"/>
  <c r="P5" i="158"/>
  <c r="S5" i="158" s="1"/>
  <c r="BL5" i="158"/>
  <c r="BO5" i="158" s="1"/>
  <c r="R6" i="158"/>
  <c r="S6" i="158" s="1"/>
  <c r="BN6" i="158"/>
  <c r="BO6" i="158" s="1"/>
  <c r="AN5" i="158"/>
  <c r="AQ5" i="158" s="1"/>
  <c r="AP6" i="158"/>
  <c r="AQ6" i="158" s="1"/>
  <c r="AF4" i="158"/>
  <c r="BD4" i="158"/>
  <c r="AR5" i="158"/>
  <c r="AU5" i="158" s="1"/>
  <c r="T6" i="158"/>
  <c r="BD6" i="158"/>
  <c r="T5" i="158"/>
  <c r="W5" i="158" s="1"/>
  <c r="BP5" i="158"/>
  <c r="BS5" i="158" s="1"/>
  <c r="AF6" i="158"/>
  <c r="AR6" i="158"/>
  <c r="BP6" i="158"/>
  <c r="U6" i="158"/>
  <c r="AG6" i="158"/>
  <c r="AS6" i="158"/>
  <c r="BE6" i="158"/>
  <c r="BQ6" i="158"/>
  <c r="AN4" i="157"/>
  <c r="X6" i="157"/>
  <c r="AV6" i="157"/>
  <c r="BT6" i="157"/>
  <c r="P4" i="157"/>
  <c r="AF5" i="157"/>
  <c r="AI5" i="157" s="1"/>
  <c r="AX6" i="157"/>
  <c r="AY6" i="157" s="1"/>
  <c r="BL4" i="157"/>
  <c r="BV6" i="157"/>
  <c r="BW6" i="157" s="1"/>
  <c r="L5" i="157"/>
  <c r="O5" i="157" s="1"/>
  <c r="AJ5" i="157"/>
  <c r="AM5" i="157" s="1"/>
  <c r="BH5" i="157"/>
  <c r="BK5" i="157" s="1"/>
  <c r="P6" i="157"/>
  <c r="AN6" i="157"/>
  <c r="BL6" i="157"/>
  <c r="Q6" i="157"/>
  <c r="AO6" i="157"/>
  <c r="BM6" i="157"/>
  <c r="P5" i="157"/>
  <c r="S5" i="157" s="1"/>
  <c r="AN5" i="157"/>
  <c r="AQ5" i="157" s="1"/>
  <c r="BL5" i="157"/>
  <c r="BO5" i="157" s="1"/>
  <c r="T5" i="157"/>
  <c r="W5" i="157" s="1"/>
  <c r="AR5" i="157"/>
  <c r="AU5" i="157" s="1"/>
  <c r="BP5" i="157"/>
  <c r="BS5" i="157" s="1"/>
  <c r="T6" i="157"/>
  <c r="AF6" i="157"/>
  <c r="AR6" i="157"/>
  <c r="BD6" i="157"/>
  <c r="BP6" i="157"/>
  <c r="AB6" i="156"/>
  <c r="AZ6" i="156"/>
  <c r="X6" i="156"/>
  <c r="AV6" i="156"/>
  <c r="BA6" i="156"/>
  <c r="AB5" i="156"/>
  <c r="AE5" i="156" s="1"/>
  <c r="AZ5" i="156"/>
  <c r="BC5" i="156" s="1"/>
  <c r="BT6" i="156"/>
  <c r="T4" i="156"/>
  <c r="AR4" i="156"/>
  <c r="BP4" i="156"/>
  <c r="Y6" i="156"/>
  <c r="AW6" i="156"/>
  <c r="BU6" i="156"/>
  <c r="Z6" i="156"/>
  <c r="AA6" i="156" s="1"/>
  <c r="AX6" i="156"/>
  <c r="AY6" i="156" s="1"/>
  <c r="BV6" i="156"/>
  <c r="BW6" i="156" s="1"/>
  <c r="X4" i="156"/>
  <c r="AV4" i="156"/>
  <c r="BT4" i="156"/>
  <c r="AZ4" i="156"/>
  <c r="AD6" i="156"/>
  <c r="AE6" i="156" s="1"/>
  <c r="AB4" i="156"/>
  <c r="AF4" i="156"/>
  <c r="BD4" i="156"/>
  <c r="T5" i="156"/>
  <c r="W5" i="156" s="1"/>
  <c r="AR5" i="156"/>
  <c r="AU5" i="156" s="1"/>
  <c r="BP5" i="156"/>
  <c r="BS5" i="156" s="1"/>
  <c r="T6" i="156"/>
  <c r="AF6" i="156"/>
  <c r="AR6" i="156"/>
  <c r="BD6" i="156"/>
  <c r="BP6" i="156"/>
  <c r="U6" i="156"/>
  <c r="AG6" i="156"/>
  <c r="AS6" i="156"/>
  <c r="BE6" i="156"/>
  <c r="BQ6" i="156"/>
  <c r="AX6" i="155"/>
  <c r="AY6" i="155" s="1"/>
  <c r="AV4" i="155"/>
  <c r="AJ4" i="155"/>
  <c r="BH4" i="155"/>
  <c r="BE6" i="155"/>
  <c r="AB5" i="155"/>
  <c r="AE5" i="155" s="1"/>
  <c r="AZ5" i="155"/>
  <c r="BC5" i="155" s="1"/>
  <c r="L6" i="155"/>
  <c r="X6" i="155"/>
  <c r="AV6" i="155"/>
  <c r="BT6" i="155"/>
  <c r="AB6" i="155"/>
  <c r="AZ6" i="155"/>
  <c r="AB4" i="155"/>
  <c r="AZ4" i="155"/>
  <c r="AC6" i="155"/>
  <c r="BA6" i="155"/>
  <c r="BT4" i="155"/>
  <c r="AF4" i="155"/>
  <c r="BD4" i="155"/>
  <c r="BV6" i="155"/>
  <c r="BW6" i="155" s="1"/>
  <c r="X4" i="155"/>
  <c r="AG6" i="155"/>
  <c r="X5" i="155"/>
  <c r="AA5" i="155" s="1"/>
  <c r="O82"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7" i="2"/>
  <c r="J82" i="2"/>
  <c r="J81" i="2"/>
  <c r="J80" i="2"/>
  <c r="J79" i="2"/>
  <c r="J78" i="2"/>
  <c r="J77" i="2"/>
  <c r="J76" i="2"/>
  <c r="J75" i="2"/>
  <c r="J74" i="2"/>
  <c r="J73" i="2"/>
  <c r="J72" i="2"/>
  <c r="J71" i="2"/>
  <c r="J70" i="2"/>
  <c r="J69" i="2"/>
  <c r="J68" i="2"/>
  <c r="J67" i="2"/>
  <c r="J66" i="2"/>
  <c r="J65" i="2"/>
  <c r="J64" i="2"/>
  <c r="J63" i="2"/>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J12" i="2"/>
  <c r="J11" i="2"/>
  <c r="J10" i="2"/>
  <c r="J9" i="2"/>
  <c r="J8" i="2"/>
  <c r="J7" i="2"/>
  <c r="E36" i="1"/>
  <c r="E37" i="1" s="1"/>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G36" i="1"/>
  <c r="F36" i="1"/>
  <c r="F37" i="1" s="1"/>
  <c r="D36" i="1"/>
  <c r="D37" i="1" s="1"/>
  <c r="C11" i="36"/>
  <c r="C10" i="36"/>
  <c r="C29" i="36"/>
  <c r="C31" i="36" s="1"/>
  <c r="J110" i="3"/>
  <c r="G37" i="1" l="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P6" i="2"/>
  <c r="AQ6" i="2" s="1"/>
  <c r="AT6" i="2"/>
  <c r="AU6" i="2" s="1"/>
  <c r="AX6" i="2"/>
  <c r="AY6" i="2" s="1"/>
  <c r="BB6" i="2"/>
  <c r="BC6" i="2" s="1"/>
  <c r="BF6" i="2"/>
  <c r="BG6" i="2" s="1"/>
  <c r="BH4" i="2"/>
  <c r="BR6" i="2"/>
  <c r="BS6" i="2" s="1"/>
  <c r="BN6" i="2"/>
  <c r="BO6" i="2" s="1"/>
  <c r="BV6" i="2"/>
  <c r="BW6" i="2" s="1"/>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Z6" i="2"/>
  <c r="AA6" i="2" s="1"/>
  <c r="V6" i="2"/>
  <c r="W6" i="2" s="1"/>
  <c r="AD6" i="2"/>
  <c r="AE6" i="2" s="1"/>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24" i="1"/>
  <c r="C36" i="1"/>
  <c r="C37" i="1" s="1"/>
</calcChain>
</file>

<file path=xl/sharedStrings.xml><?xml version="1.0" encoding="utf-8"?>
<sst xmlns="http://schemas.openxmlformats.org/spreadsheetml/2006/main" count="1424" uniqueCount="844">
  <si>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</si>
  <si>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</si>
  <si>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</si>
  <si>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</si>
  <si>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</si>
  <si>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</si>
  <si>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</si>
  <si>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</si>
  <si>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</si>
  <si>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</si>
  <si>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</si>
  <si>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</si>
  <si>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</si>
  <si>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</si>
  <si>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</si>
  <si>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</si>
  <si>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</si>
  <si>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</si>
  <si>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</si>
  <si>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</si>
  <si>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</si>
  <si>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</si>
  <si>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</si>
  <si>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</si>
  <si>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</si>
  <si>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</si>
  <si>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</si>
  <si>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</si>
  <si>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</si>
  <si>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</si>
  <si>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</si>
  <si>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</si>
  <si>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</si>
  <si>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</si>
  <si>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</si>
  <si>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</si>
  <si>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</si>
  <si>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</si>
  <si>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</si>
  <si>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</si>
  <si>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</si>
  <si>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</si>
  <si>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</si>
  <si>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</si>
  <si>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</si>
  <si>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</si>
  <si>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</si>
  <si>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</si>
  <si>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</si>
  <si>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</si>
  <si>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</si>
  <si>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</si>
  <si>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</si>
  <si>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</si>
  <si>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</si>
  <si>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</si>
  <si>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</si>
  <si>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</si>
  <si>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</si>
  <si>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</si>
  <si>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</si>
  <si>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</si>
  <si>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</si>
  <si>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</si>
  <si>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</si>
  <si>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</si>
  <si>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</si>
  <si>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</si>
  <si>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</si>
  <si>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</si>
  <si>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</si>
  <si>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</si>
  <si>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</si>
  <si>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</si>
  <si>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</si>
  <si>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</si>
  <si>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</si>
  <si>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</si>
  <si>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</si>
  <si>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</si>
  <si>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</si>
  <si>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</si>
  <si>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</si>
  <si>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</si>
  <si>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</si>
  <si>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</si>
  <si>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</si>
  <si>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</si>
  <si>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</si>
  <si>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</si>
  <si>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</si>
  <si>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</si>
  <si>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</si>
  <si>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</si>
  <si>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</si>
  <si>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</si>
  <si>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</si>
  <si>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</si>
  <si>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</si>
  <si>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</si>
  <si>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</si>
  <si>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</si>
  <si>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</si>
  <si>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</si>
  <si>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</si>
  <si>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</si>
  <si>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</si>
  <si>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</si>
  <si>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</si>
  <si>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</si>
  <si>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</si>
  <si>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</si>
  <si>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</si>
  <si>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</si>
  <si>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</si>
  <si>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</si>
  <si>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</si>
  <si>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</si>
  <si>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</si>
  <si>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</si>
  <si>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</si>
  <si>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</si>
  <si>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</si>
  <si>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</si>
  <si>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</si>
  <si>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</si>
  <si>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</si>
  <si>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</si>
  <si>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</si>
  <si>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</si>
  <si>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</si>
  <si>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</si>
  <si>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</si>
  <si>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</si>
  <si>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</si>
  <si>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</si>
  <si>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</si>
  <si>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</si>
  <si>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</si>
  <si>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</si>
  <si>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</si>
  <si>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</si>
  <si>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</si>
  <si>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</si>
  <si>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</si>
  <si>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</si>
  <si>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</si>
  <si>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</si>
  <si>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</si>
  <si>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</si>
  <si>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</si>
  <si>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</si>
  <si>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</si>
  <si>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</si>
  <si>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</si>
  <si>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</si>
  <si>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</si>
  <si>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</si>
  <si>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</si>
  <si>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</si>
  <si>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</si>
  <si>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</si>
  <si>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</si>
  <si>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</si>
  <si>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</si>
  <si>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</si>
  <si>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</si>
  <si>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</si>
  <si>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</si>
  <si>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</si>
  <si>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</si>
  <si>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</si>
  <si>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</si>
  <si>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</si>
  <si>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</si>
  <si>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</si>
  <si>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</si>
  <si>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</si>
  <si>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</si>
  <si>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</si>
  <si>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</si>
  <si>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</si>
  <si>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</si>
  <si>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</si>
  <si>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</si>
  <si>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</si>
  <si>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</si>
  <si>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</si>
  <si>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</si>
  <si>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</si>
  <si>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</si>
  <si>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</si>
  <si>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</si>
  <si>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</si>
  <si>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</si>
  <si>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</si>
  <si>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</si>
  <si>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</si>
  <si>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</si>
  <si>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</si>
  <si>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</si>
  <si>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</si>
  <si>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</si>
  <si>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</si>
  <si>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</si>
  <si>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</si>
  <si>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</si>
  <si>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</si>
  <si>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</si>
  <si>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</si>
  <si>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</si>
  <si>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</si>
  <si>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</si>
  <si>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</si>
  <si>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</si>
  <si>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</si>
  <si>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</si>
  <si>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</si>
  <si>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</si>
  <si>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</si>
  <si>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</si>
  <si>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</si>
  <si>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</si>
  <si>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</si>
  <si>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</si>
  <si>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</si>
  <si>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</si>
  <si>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</si>
  <si>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</si>
  <si>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</si>
  <si>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NAVARIK 2023_V.1</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</si>
  <si>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</si>
  <si>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</si>
  <si>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</si>
  <si>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</si>
  <si>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</si>
  <si>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</si>
  <si>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</si>
  <si>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</si>
  <si>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</si>
  <si>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</si>
  <si>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</si>
  <si>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</si>
  <si>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</si>
  <si>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</si>
  <si>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</si>
  <si>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</si>
  <si>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</si>
  <si>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</si>
  <si>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</si>
  <si>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</si>
  <si>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</si>
  <si>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</si>
  <si>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</si>
  <si>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</si>
  <si>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</si>
  <si>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</si>
  <si>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</si>
  <si>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</si>
  <si>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</si>
  <si>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</si>
  <si>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</si>
  <si>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</si>
  <si>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</si>
  <si>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</si>
  <si>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</si>
  <si>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</si>
  <si>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</si>
  <si>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</si>
  <si>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</si>
  <si>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</si>
  <si>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</si>
  <si>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</si>
  <si>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</si>
  <si>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</si>
  <si>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</si>
  <si>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</si>
  <si>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</si>
  <si>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</si>
  <si>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</si>
  <si>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</si>
  <si>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</si>
  <si>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</si>
  <si>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</si>
  <si>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</si>
  <si>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</si>
  <si>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</si>
  <si>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</si>
  <si>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</si>
  <si>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</si>
  <si>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</si>
  <si>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</si>
  <si>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</si>
  <si>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</si>
  <si>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</si>
  <si>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</si>
  <si>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</si>
  <si>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</si>
  <si>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</si>
  <si>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</si>
  <si>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</si>
  <si>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</si>
  <si>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</si>
  <si>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</si>
  <si>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</si>
  <si>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</si>
  <si>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</si>
  <si>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</si>
  <si>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</si>
  <si>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</si>
  <si>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</si>
  <si>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</si>
  <si>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</si>
  <si>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</si>
  <si>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</si>
  <si>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</si>
  <si>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</si>
  <si>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</si>
  <si>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</si>
  <si>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</si>
  <si>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</si>
  <si>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</si>
  <si>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</si>
  <si>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</si>
  <si>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</si>
  <si>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</si>
  <si>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</si>
  <si>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</si>
  <si>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</si>
  <si>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</si>
  <si>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</si>
  <si>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</si>
  <si>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</si>
  <si>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</si>
  <si>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</si>
  <si>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</si>
  <si>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</si>
  <si>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</si>
  <si>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</si>
  <si>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</si>
  <si>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</si>
  <si>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</si>
  <si>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</si>
  <si>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</si>
  <si>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</si>
  <si>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</si>
  <si>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</si>
  <si>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</si>
  <si>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</si>
  <si>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</si>
  <si>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</si>
  <si>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</si>
  <si>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</si>
  <si>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</si>
  <si>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</si>
  <si>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</si>
  <si>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</si>
  <si>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</si>
  <si>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</si>
  <si>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</si>
  <si>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</si>
  <si>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</si>
  <si>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</si>
  <si>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</si>
  <si>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</si>
  <si>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</si>
  <si>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</si>
  <si>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</si>
  <si>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</si>
  <si>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</si>
  <si>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</si>
  <si>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</si>
  <si>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</si>
  <si>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</si>
  <si>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</si>
  <si>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</si>
  <si>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</si>
  <si>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</si>
  <si>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</si>
  <si>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</si>
  <si>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</si>
  <si>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</si>
  <si>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</si>
  <si>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</si>
  <si>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</si>
  <si>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</si>
  <si>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</si>
  <si>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</si>
  <si>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</si>
  <si>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</si>
  <si>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</si>
  <si>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</si>
  <si>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</si>
  <si>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</si>
  <si>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</si>
  <si>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</si>
  <si>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</si>
  <si>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</si>
  <si>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</si>
  <si>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</si>
  <si>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</si>
  <si>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</si>
  <si>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</si>
  <si>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</si>
  <si>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</si>
  <si>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</si>
  <si>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</si>
  <si>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</si>
  <si>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</si>
  <si>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</si>
  <si>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</si>
  <si>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</si>
  <si>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</si>
  <si>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</si>
  <si>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</si>
  <si>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</si>
  <si>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</si>
  <si>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</si>
  <si>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</si>
  <si>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</si>
  <si>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</si>
  <si>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</si>
  <si>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</si>
  <si>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</si>
  <si>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</si>
  <si>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</si>
  <si>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</si>
  <si>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</si>
  <si>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</si>
  <si>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</si>
  <si>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</si>
  <si>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</si>
  <si>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</si>
  <si>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</si>
  <si>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</si>
  <si>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</si>
  <si>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</si>
  <si>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</si>
  <si>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</si>
  <si>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</si>
  <si>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</si>
  <si>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</si>
  <si>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</si>
  <si>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</si>
  <si>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</si>
  <si>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</si>
  <si>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</si>
  <si>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</si>
  <si>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</si>
  <si>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</si>
  <si>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</si>
  <si>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</si>
  <si>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</si>
  <si>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</si>
  <si>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</si>
  <si>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</si>
  <si>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</si>
  <si>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</si>
  <si>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</si>
  <si>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</si>
  <si>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</si>
  <si>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</si>
  <si>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</si>
  <si>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</si>
  <si>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</si>
  <si>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</si>
  <si>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</si>
  <si>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</si>
  <si>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</si>
  <si>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</si>
  <si>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</si>
  <si>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</si>
  <si>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</si>
  <si>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</si>
  <si>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</si>
  <si>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</si>
  <si>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</si>
  <si>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</si>
  <si>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</si>
  <si>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</si>
  <si>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</si>
  <si>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</si>
  <si>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</si>
  <si>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</si>
  <si>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</si>
  <si>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</si>
  <si>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</si>
  <si>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</si>
  <si>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</si>
  <si>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</si>
  <si>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</si>
  <si>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</si>
  <si>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</si>
  <si>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</si>
  <si>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</si>
  <si>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</si>
  <si>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</si>
  <si>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</si>
  <si>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</si>
  <si>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</si>
  <si>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</si>
  <si>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</si>
  <si>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</si>
  <si>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</si>
  <si>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</si>
  <si>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</si>
  <si>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</si>
  <si>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</si>
  <si>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</si>
  <si>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</si>
  <si>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</si>
  <si>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</si>
  <si>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</si>
  <si>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</si>
  <si>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</si>
  <si>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</si>
  <si>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</si>
  <si>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</si>
  <si>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</si>
  <si>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</si>
  <si>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</si>
  <si>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</si>
  <si>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</si>
  <si>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</si>
  <si>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</si>
  <si>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</si>
  <si>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</si>
  <si>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</si>
  <si>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</si>
  <si>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</si>
  <si>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</si>
  <si>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</si>
  <si>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</si>
  <si>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</si>
  <si>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</si>
  <si>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</si>
  <si>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</si>
  <si>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</si>
  <si>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</si>
  <si>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</si>
  <si>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</si>
  <si>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</si>
  <si>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</si>
  <si>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</si>
  <si>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</si>
  <si>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</si>
  <si>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</si>
  <si>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</si>
  <si>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</si>
  <si>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</si>
  <si>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</si>
  <si>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</si>
  <si>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</si>
  <si>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</si>
  <si>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</si>
  <si>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</si>
  <si>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</si>
  <si>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</si>
  <si>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</si>
  <si>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</si>
  <si>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</si>
  <si>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</si>
  <si>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</si>
  <si>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</si>
  <si>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</si>
  <si>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</si>
  <si>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</si>
  <si>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</si>
  <si>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</si>
  <si>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</si>
  <si>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</si>
  <si>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</si>
  <si>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</si>
  <si>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</si>
  <si>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</si>
  <si>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</si>
  <si>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</si>
  <si>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</si>
  <si>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</si>
  <si>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</si>
  <si>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</si>
  <si>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</si>
  <si>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</si>
  <si>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</si>
  <si>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</si>
  <si>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</si>
  <si>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</si>
  <si>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</si>
  <si>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</si>
  <si>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</si>
  <si>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</si>
  <si>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</si>
  <si>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</si>
  <si>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</si>
  <si>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</si>
  <si>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</si>
  <si>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</si>
  <si>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</si>
  <si>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</si>
  <si>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</si>
  <si>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</si>
  <si>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</si>
  <si>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</si>
  <si>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</si>
  <si>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</si>
  <si>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</si>
  <si>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</si>
  <si>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</si>
  <si>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</si>
  <si>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</si>
  <si>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</si>
  <si>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</si>
  <si>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</si>
  <si>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</si>
  <si>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</si>
  <si>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</si>
  <si>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</si>
  <si>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</si>
  <si>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</si>
  <si>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</si>
  <si>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</si>
  <si>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</si>
  <si>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</si>
  <si>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</si>
  <si>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</si>
  <si>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</si>
  <si>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</si>
  <si>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</si>
  <si>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</si>
  <si>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</si>
  <si>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</si>
  <si>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</si>
  <si>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</si>
  <si>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</si>
  <si>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</si>
  <si>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</si>
  <si>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</si>
  <si>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</si>
  <si>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</si>
  <si>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</si>
  <si>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</si>
  <si>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</si>
  <si>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</si>
  <si>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</si>
  <si>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</si>
  <si>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</si>
  <si>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</si>
  <si>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</si>
  <si>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</si>
  <si>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</si>
  <si>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</si>
  <si>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</si>
  <si>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</si>
  <si>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</si>
  <si>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</si>
  <si>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</si>
  <si>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</si>
  <si>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</si>
  <si>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</si>
  <si>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</si>
  <si>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</si>
  <si>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</si>
  <si>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</si>
  <si>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</si>
  <si>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</si>
  <si>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</si>
  <si>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</si>
  <si>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</si>
  <si>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</si>
  <si>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</si>
  <si>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</si>
  <si>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</si>
  <si>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</si>
  <si>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</si>
  <si>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</si>
  <si>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</si>
  <si>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</si>
  <si>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</si>
  <si>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</si>
  <si>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</si>
  <si>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</si>
  <si>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</si>
  <si>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</si>
  <si>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</si>
  <si>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</si>
  <si>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</si>
  <si>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</si>
  <si>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CHEVRON</t>
  </si>
  <si>
    <t>23C767581-03</t>
  </si>
  <si>
    <t>IKIGAI</t>
  </si>
  <si>
    <t>Unleaded Gasoline 91</t>
  </si>
  <si>
    <t>Appearance</t>
  </si>
  <si>
    <t>Aromatics in Gasoline</t>
  </si>
  <si>
    <t>Benzene</t>
  </si>
  <si>
    <t>Color</t>
  </si>
  <si>
    <t>Copper Corrosion, 3hr @ 50C</t>
  </si>
  <si>
    <t>Density @ 15C</t>
  </si>
  <si>
    <t>Distillation Evaporated @ 70C</t>
  </si>
  <si>
    <t>Distillation 10% Evaporated</t>
  </si>
  <si>
    <t>Distillation 50% Evaporated</t>
  </si>
  <si>
    <t>Distillation 90% Evaporated</t>
  </si>
  <si>
    <t>Distillation Final Boiling Point</t>
  </si>
  <si>
    <t>Distillation Loss</t>
  </si>
  <si>
    <t>Distillation Residue</t>
  </si>
  <si>
    <t>Driveability Index (Calculated)</t>
  </si>
  <si>
    <t>Ethanol Content</t>
  </si>
  <si>
    <t>Flexible Volatility Index</t>
  </si>
  <si>
    <t>Gum Content, Existent (unwashed)</t>
  </si>
  <si>
    <t>Gum Content, Existent (washed)</t>
  </si>
  <si>
    <t>Oxidation Stability (Induction Period Method)</t>
  </si>
  <si>
    <t>Lead in Gasoline</t>
  </si>
  <si>
    <t>Octane Number - Motor (MON)</t>
  </si>
  <si>
    <t>Octane Number - Research (RON)</t>
  </si>
  <si>
    <t>Odour</t>
  </si>
  <si>
    <t>Olefins in Gasoline</t>
  </si>
  <si>
    <t>Oxygen Content</t>
  </si>
  <si>
    <t>Oxygenates and Oxygen Content in Gasoline</t>
  </si>
  <si>
    <t>Other Oxygenates</t>
  </si>
  <si>
    <t>Particulate Contamination - Lab Procedure (Filtration and Gravimetric Determination)</t>
  </si>
  <si>
    <t>Phosphorus in Gasoline</t>
  </si>
  <si>
    <t>Silver Strip Corrosion 3Hr@ 50C</t>
  </si>
  <si>
    <t>Sulfur Content</t>
  </si>
  <si>
    <t>Mercaptan Sulfur in Light and Middle Distillates (Potentiometric Method) Gasoline, Kerosine, Aviation Turbine, and Distillate Fuels</t>
  </si>
  <si>
    <t>Doctor Test</t>
  </si>
  <si>
    <t>Vapor Pressure</t>
  </si>
  <si>
    <t>Steam Cracked Naphtha</t>
  </si>
  <si>
    <t>Metal Deactivator</t>
  </si>
  <si>
    <t>Additives (declaration)</t>
  </si>
  <si>
    <t>Additive - Antioxidant (declaration)</t>
  </si>
  <si>
    <t>n/a</t>
  </si>
  <si>
    <t>min = 17 / max = 35 (buy)</t>
  </si>
  <si>
    <t>max = 40 (buy)</t>
  </si>
  <si>
    <t>max = 1.0 (buy)</t>
  </si>
  <si>
    <t>max = 1 (buy)</t>
  </si>
  <si>
    <t>Report only</t>
  </si>
  <si>
    <t>max = 65.0 (buy)</t>
  </si>
  <si>
    <t>max = 115.0 (buy)</t>
  </si>
  <si>
    <t>max = 183.0 (buy)</t>
  </si>
  <si>
    <t>max = 210 (buy)</t>
  </si>
  <si>
    <t>max = 2.0 (buy)</t>
  </si>
  <si>
    <t>max = 0 (buy)</t>
  </si>
  <si>
    <t>max = 90 (buy)</t>
  </si>
  <si>
    <t>max = 30 (buy)</t>
  </si>
  <si>
    <t>max = 5.0 (buy)</t>
  </si>
  <si>
    <t>min = 360 (buy)</t>
  </si>
  <si>
    <t>min = 81.0 (buy)</t>
  </si>
  <si>
    <t>min = 91 (buy)</t>
  </si>
  <si>
    <t>max = 18.0 (buy)</t>
  </si>
  <si>
    <t>max = 2.7 (buy)</t>
  </si>
  <si>
    <t>max = 0.5 (buy)</t>
  </si>
  <si>
    <t>max = 3.0 (buy)</t>
  </si>
  <si>
    <t>max = 1.3 (buy)</t>
  </si>
  <si>
    <t>max = 50 (buy)</t>
  </si>
  <si>
    <t>max = 15 (buy)</t>
  </si>
  <si>
    <t>min = 45.0 (buy)</t>
  </si>
  <si>
    <t>max = 24.0 (buy)</t>
  </si>
  <si>
    <t>max = 6 (buy)</t>
  </si>
  <si>
    <t>pass/fail</t>
  </si>
  <si>
    <t>visual</t>
  </si>
  <si>
    <t>%vol</t>
  </si>
  <si>
    <t>rating</t>
  </si>
  <si>
    <t>kg/l</t>
  </si>
  <si>
    <t>°C</t>
  </si>
  <si>
    <t>calc</t>
  </si>
  <si>
    <t>mg/100ml</t>
  </si>
  <si>
    <t>mins</t>
  </si>
  <si>
    <t>mg/l</t>
  </si>
  <si>
    <t>%m</t>
  </si>
  <si>
    <t>mg P/l</t>
  </si>
  <si>
    <t>mg/kg</t>
  </si>
  <si>
    <t>pos/neg</t>
  </si>
  <si>
    <t>kPa</t>
  </si>
  <si>
    <t>[ASTM] D4176 Procedure 1</t>
  </si>
  <si>
    <t>[OTHER] Visual</t>
  </si>
  <si>
    <t>[ASTM] D6839</t>
  </si>
  <si>
    <t>[ASTM] D5443</t>
  </si>
  <si>
    <t>v</t>
  </si>
  <si>
    <t>[ASTM] D130</t>
  </si>
  <si>
    <t>[ASTM] D4052</t>
  </si>
  <si>
    <t>[ASTM] D86</t>
  </si>
  <si>
    <t>[OTHER] CGSB 3.5</t>
  </si>
  <si>
    <t>[ASTM] D4815-04</t>
  </si>
  <si>
    <t>[OTHER] Calculation</t>
  </si>
  <si>
    <t>[ASTM] D381</t>
  </si>
  <si>
    <t>[ASTM] D525</t>
  </si>
  <si>
    <t>[ASTM] D3237</t>
  </si>
  <si>
    <t>[ASTM] D2700</t>
  </si>
  <si>
    <t>[ASTM] D2699</t>
  </si>
  <si>
    <t>[OTHER] Odor</t>
  </si>
  <si>
    <t>[ASTM] D1319</t>
  </si>
  <si>
    <t>TESTED BY ASTM D6839</t>
    <phoneticPr fontId="1" type="noConversion"/>
  </si>
  <si>
    <t>[ASTM] D4815</t>
  </si>
  <si>
    <t>[ASTM] D5452</t>
  </si>
  <si>
    <t>[ASTM] D3231</t>
  </si>
  <si>
    <t>[ASTM] D7671</t>
  </si>
  <si>
    <t>[ASTM] D5453</t>
  </si>
  <si>
    <t>[ASTM] D3227</t>
  </si>
  <si>
    <t>[ASTM] D5191 (ASTM)</t>
  </si>
  <si>
    <t>[OTHER] Declaration</t>
  </si>
  <si>
    <t>PASS</t>
    <phoneticPr fontId="1" type="noConversion"/>
  </si>
  <si>
    <t>24.4</t>
    <phoneticPr fontId="1" type="noConversion"/>
  </si>
  <si>
    <t>0.60</t>
    <phoneticPr fontId="1" type="noConversion"/>
  </si>
  <si>
    <t>LIGHT YELLOW</t>
    <phoneticPr fontId="1" type="noConversion"/>
  </si>
  <si>
    <t>1</t>
    <phoneticPr fontId="1" type="noConversion"/>
  </si>
  <si>
    <t>1A</t>
    <phoneticPr fontId="1" type="noConversion"/>
  </si>
  <si>
    <t>0.7353</t>
    <phoneticPr fontId="1" type="noConversion"/>
  </si>
  <si>
    <t>25.3</t>
    <phoneticPr fontId="1" type="noConversion"/>
  </si>
  <si>
    <t>55.7</t>
    <phoneticPr fontId="1" type="noConversion"/>
  </si>
  <si>
    <t>95.5</t>
    <phoneticPr fontId="1" type="noConversion"/>
  </si>
  <si>
    <t>153.6</t>
    <phoneticPr fontId="1" type="noConversion"/>
  </si>
  <si>
    <t>195.0</t>
    <phoneticPr fontId="1" type="noConversion"/>
  </si>
  <si>
    <t>1.3</t>
    <phoneticPr fontId="1" type="noConversion"/>
  </si>
  <si>
    <t>1.0</t>
    <phoneticPr fontId="1" type="noConversion"/>
  </si>
  <si>
    <t>57.0</t>
    <phoneticPr fontId="1" type="noConversion"/>
  </si>
  <si>
    <t>524</t>
    <phoneticPr fontId="1" type="noConversion"/>
  </si>
  <si>
    <t>0</t>
    <phoneticPr fontId="1" type="noConversion"/>
  </si>
  <si>
    <t>73.8</t>
    <phoneticPr fontId="1" type="noConversion"/>
  </si>
  <si>
    <t>3.0</t>
    <phoneticPr fontId="1" type="noConversion"/>
  </si>
  <si>
    <t>380</t>
    <phoneticPr fontId="1" type="noConversion"/>
  </si>
  <si>
    <t>380+</t>
    <phoneticPr fontId="1" type="noConversion"/>
  </si>
  <si>
    <t>2.5</t>
    <phoneticPr fontId="1" type="noConversion"/>
  </si>
  <si>
    <t>&lt;</t>
  </si>
  <si>
    <t>82.0</t>
    <phoneticPr fontId="1" type="noConversion"/>
  </si>
  <si>
    <t>91.3</t>
    <phoneticPr fontId="1" type="noConversion"/>
  </si>
  <si>
    <t>16.8</t>
    <phoneticPr fontId="1" type="noConversion"/>
  </si>
  <si>
    <t>0.1</t>
    <phoneticPr fontId="1" type="noConversion"/>
  </si>
  <si>
    <t>0.7</t>
    <phoneticPr fontId="1" type="noConversion"/>
  </si>
  <si>
    <t>MTBE</t>
    <phoneticPr fontId="1" type="noConversion"/>
  </si>
  <si>
    <t>0.20</t>
    <phoneticPr fontId="1" type="noConversion"/>
  </si>
  <si>
    <t>0.30</t>
    <phoneticPr fontId="1" type="noConversion"/>
  </si>
  <si>
    <t>27</t>
    <phoneticPr fontId="1" type="noConversion"/>
  </si>
  <si>
    <t>3</t>
    <phoneticPr fontId="1" type="noConversion"/>
  </si>
  <si>
    <t>Kai Kim</t>
    <phoneticPr fontId="1" type="noConversion"/>
  </si>
  <si>
    <t>김지은</t>
    <phoneticPr fontId="1" type="noConversion"/>
  </si>
  <si>
    <t>20024350-C</t>
    <phoneticPr fontId="1" type="noConversion"/>
  </si>
  <si>
    <t>6B</t>
  </si>
  <si>
    <t>GS CATLEX</t>
  </si>
  <si>
    <t>AUSTRALIA</t>
  </si>
  <si>
    <t>Shore Tank Gauge</t>
  </si>
  <si>
    <t>20D-561</t>
    <phoneticPr fontId="1" type="noConversion"/>
  </si>
  <si>
    <t>NA</t>
    <phoneticPr fontId="1" type="noConversion"/>
  </si>
  <si>
    <t>0</t>
    <phoneticPr fontId="1" type="noConversion"/>
  </si>
  <si>
    <t>NOT DETECTED</t>
    <phoneticPr fontId="1" type="noConversion"/>
  </si>
  <si>
    <t>NIL ADDITION</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</si>
</sst>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3"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cellXfs>
  <cellStyles count="2">
    <cellStyle name="표준" xfId="0" builtinId="0"/>
    <cellStyle name="하이퍼링크" xfId="1" builtinId="8"/>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9</xdr:row>
          <xdr:rowOff>22860</xdr:rowOff>
        </xdr:from>
        <xdr:to>
          <xdr:col>1</xdr:col>
          <xdr:colOff>1325880</xdr:colOff>
          <xdr:row>9</xdr:row>
          <xdr:rowOff>182880</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9</xdr:row>
          <xdr:rowOff>182880</xdr:rowOff>
        </xdr:from>
        <xdr:to>
          <xdr:col>1</xdr:col>
          <xdr:colOff>1318260</xdr:colOff>
          <xdr:row>11</xdr:row>
          <xdr:rowOff>22860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11</xdr:row>
          <xdr:rowOff>7620</xdr:rowOff>
        </xdr:from>
        <xdr:to>
          <xdr:col>1</xdr:col>
          <xdr:colOff>1318260</xdr:colOff>
          <xdr:row>11</xdr:row>
          <xdr:rowOff>175260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13</xdr:row>
          <xdr:rowOff>22860</xdr:rowOff>
        </xdr:from>
        <xdr:to>
          <xdr:col>2</xdr:col>
          <xdr:colOff>861060</xdr:colOff>
          <xdr:row>13</xdr:row>
          <xdr:rowOff>175260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426720</xdr:rowOff>
        </xdr:from>
        <xdr:to>
          <xdr:col>2</xdr:col>
          <xdr:colOff>1493520</xdr:colOff>
          <xdr:row>13</xdr:row>
          <xdr:rowOff>182880</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541020</xdr:colOff>
          <xdr:row>89</xdr:row>
          <xdr:rowOff>160020</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GridLines="0" showRowColHeaders="0" topLeftCell="A2" zoomScaleNormal="100" workbookViewId="0">
      <selection activeCell="C15" sqref="C15"/>
    </sheetView>
  </sheetViews>
  <sheetFormatPr defaultColWidth="8.69921875" defaultRowHeight="18" customHeight="1"/>
  <cols>
    <col min="1" max="1" width="2.8984375" style="92" customWidth="1"/>
    <col min="2" max="2" width="20.59765625" style="92" customWidth="1"/>
    <col min="3" max="3" width="31.69921875" style="92" customWidth="1"/>
    <col min="4" max="5" width="2.59765625" style="102" customWidth="1"/>
    <col min="6" max="11" width="10.69921875" style="102" customWidth="1"/>
    <col min="12" max="19" width="8.69921875" style="102"/>
    <col min="20" max="16384" width="8.69921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242</v>
      </c>
      <c r="C3" s="171" t="s">
        <v>230</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384</v>
      </c>
      <c r="C5" s="148" t="s">
        <v>833</v>
      </c>
      <c r="E5" s="221" t="s">
        <v>637</v>
      </c>
      <c r="F5" s="233" t="s">
        <v>666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kai.kim@sgs.com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248</v>
      </c>
      <c r="C7" s="153" t="str">
        <f>IF(C5="","",CONCATENATE(VLOOKUP(C5,Sheet3!$I$1:$L$91,4,),"; hyunjin.kim@sgs.com"))</f>
        <v>kr_ogcyosu@sgs.com; hyunjin.kim@sgs.com</v>
      </c>
      <c r="D7" s="102" t="s">
        <v>386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663</v>
      </c>
      <c r="C9" s="218" t="s">
        <v>664</v>
      </c>
      <c r="E9" s="226" t="s">
        <v>667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637</v>
      </c>
      <c r="F10" s="233" t="s">
        <v>670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637</v>
      </c>
      <c r="F11" s="233" t="s">
        <v>669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637</v>
      </c>
      <c r="F12" s="233" t="s">
        <v>671</v>
      </c>
      <c r="G12" s="223"/>
      <c r="H12" s="223"/>
      <c r="I12" s="220"/>
      <c r="J12" s="220"/>
      <c r="K12" s="220"/>
      <c r="L12" s="219"/>
      <c r="M12" s="219"/>
      <c r="N12" s="219"/>
      <c r="O12" s="219"/>
      <c r="P12" s="219"/>
      <c r="Q12" s="219"/>
      <c r="R12" s="219"/>
      <c r="S12" s="219"/>
      <c r="T12" s="224"/>
      <c r="U12" s="224"/>
      <c r="V12" s="224"/>
      <c r="W12" s="224"/>
      <c r="X12" s="224"/>
      <c r="Y12" s="224"/>
      <c r="Z12" s="224"/>
    </row>
    <row r="13" spans="1:26" ht="25.95" customHeight="1" thickBot="1">
      <c r="B13" s="216" t="s">
        <v>665</v>
      </c>
      <c r="E13" s="227" t="s">
        <v>668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662</v>
      </c>
      <c r="C14" s="209"/>
      <c r="E14" s="221" t="s">
        <v>637</v>
      </c>
      <c r="F14" s="233" t="s">
        <v>672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660</v>
      </c>
      <c r="C15" s="192"/>
      <c r="E15" s="221" t="s">
        <v>637</v>
      </c>
      <c r="F15" s="233" t="s">
        <v>673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661</v>
      </c>
      <c r="C16" s="169"/>
      <c r="E16" s="221" t="s">
        <v>637</v>
      </c>
      <c r="F16" s="233" t="s">
        <v>674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233</v>
      </c>
      <c r="C18" s="185" t="s">
        <v>687</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243</v>
      </c>
      <c r="C19" s="187" t="s">
        <v>246</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249</v>
      </c>
      <c r="C20" s="188" t="s">
        <v>688</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252</v>
      </c>
      <c r="C21" s="187" t="s">
        <v>689</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263</v>
      </c>
      <c r="C22" s="189" t="s">
        <v>690</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375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382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383</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398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397</v>
      </c>
      <c r="C29" s="173">
        <f ca="1">TODAY()</f>
        <v>45244</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399</v>
      </c>
      <c r="C30" s="173">
        <f ca="1">IF(C29="","",EDATE(C29,-6))</f>
        <v>45060</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400</v>
      </c>
      <c r="C31" s="173">
        <f ca="1">IF(C29="","",EDATE(C29,3))</f>
        <v>45336</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389</v>
      </c>
      <c r="C34" s="235" t="s">
        <v>383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633</v>
      </c>
      <c r="C35" s="237" t="s">
        <v>659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634</v>
      </c>
      <c r="C36" s="237" t="s">
        <v>658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261</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262</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22860</xdr:colOff>
                    <xdr:row>9</xdr:row>
                    <xdr:rowOff>22860</xdr:rowOff>
                  </from>
                  <to>
                    <xdr:col>1</xdr:col>
                    <xdr:colOff>1325880</xdr:colOff>
                    <xdr:row>9</xdr:row>
                    <xdr:rowOff>182880</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22860</xdr:colOff>
                    <xdr:row>9</xdr:row>
                    <xdr:rowOff>182880</xdr:rowOff>
                  </from>
                  <to>
                    <xdr:col>1</xdr:col>
                    <xdr:colOff>1318260</xdr:colOff>
                    <xdr:row>11</xdr:row>
                    <xdr:rowOff>22860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22860</xdr:colOff>
                    <xdr:row>11</xdr:row>
                    <xdr:rowOff>7620</xdr:rowOff>
                  </from>
                  <to>
                    <xdr:col>1</xdr:col>
                    <xdr:colOff>1318260</xdr:colOff>
                    <xdr:row>11</xdr:row>
                    <xdr:rowOff>175260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137160</xdr:colOff>
                    <xdr:row>13</xdr:row>
                    <xdr:rowOff>22860</xdr:rowOff>
                  </from>
                  <to>
                    <xdr:col>2</xdr:col>
                    <xdr:colOff>861060</xdr:colOff>
                    <xdr:row>13</xdr:row>
                    <xdr:rowOff>175260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426720</xdr:rowOff>
                  </from>
                  <to>
                    <xdr:col>2</xdr:col>
                    <xdr:colOff>1493520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69921875" defaultRowHeight="13.95" customHeight="1"/>
  <cols>
    <col min="1" max="1" width="3.3984375" style="81" customWidth="1"/>
    <col min="2" max="2" width="2.19921875" style="2" customWidth="1"/>
    <col min="3" max="3" width="29.19921875" style="2" customWidth="1"/>
    <col min="4" max="4" width="47.69921875" style="2" customWidth="1"/>
    <col min="5" max="5" width="13.19921875" style="1" customWidth="1"/>
    <col min="6" max="6" width="9.09765625" style="1" customWidth="1"/>
    <col min="7" max="7" width="16.19921875" style="1" customWidth="1"/>
    <col min="8" max="8" width="12.5" style="1" customWidth="1"/>
    <col min="9" max="9" width="3.3984375" style="1" customWidth="1"/>
    <col min="10" max="10" width="3.5" style="1" customWidth="1"/>
    <col min="11" max="11" width="58.09765625" style="1" customWidth="1"/>
    <col min="12" max="12" width="13.19921875" style="1" customWidth="1"/>
    <col min="13" max="13" width="9.09765625" style="1" customWidth="1"/>
    <col min="14" max="14" width="13.19921875" style="1" customWidth="1"/>
    <col min="15" max="15" width="9.09765625" style="1" customWidth="1"/>
    <col min="16" max="16" width="3.8984375" style="1" customWidth="1"/>
    <col min="17" max="26" width="8.69921875" style="1"/>
    <col min="27" max="27" width="0" style="1" hidden="1" customWidth="1"/>
    <col min="28" max="39" width="8.69921875" style="1"/>
    <col min="40" max="41" width="8.69921875" style="1" customWidth="1"/>
    <col min="42" max="42" width="8.69921875" style="1"/>
    <col min="43" max="43" width="8.69921875" style="1" customWidth="1"/>
    <col min="44" max="16384" width="8.69921875" style="1"/>
  </cols>
  <sheetData>
    <row r="1" spans="1:36" ht="13.95" customHeight="1">
      <c r="A1" s="79"/>
      <c r="B1" s="277" t="s">
        <v>232</v>
      </c>
      <c r="C1" s="277"/>
      <c r="D1" s="3"/>
      <c r="E1" s="4"/>
      <c r="F1" s="280"/>
      <c r="G1" s="280"/>
      <c r="H1" s="280"/>
      <c r="I1" s="4"/>
      <c r="J1" s="276" t="s">
        <v>13</v>
      </c>
      <c r="K1" s="276"/>
      <c r="L1" s="4"/>
      <c r="M1" s="4"/>
      <c r="N1" s="4"/>
      <c r="O1" s="4"/>
      <c r="P1" s="4"/>
    </row>
    <row r="2" spans="1:36" ht="13.95" customHeight="1">
      <c r="A2" s="79"/>
      <c r="B2" s="278"/>
      <c r="C2" s="278"/>
      <c r="D2" s="5"/>
      <c r="E2" s="6"/>
      <c r="F2" s="281"/>
      <c r="G2" s="281"/>
      <c r="H2" s="281"/>
      <c r="I2" s="4"/>
      <c r="J2" s="279"/>
      <c r="K2" s="279"/>
      <c r="L2" s="282" t="s">
        <v>319</v>
      </c>
      <c r="M2" s="264"/>
      <c r="N2" s="264" t="s">
        <v>320</v>
      </c>
      <c r="O2" s="265"/>
      <c r="P2" s="4"/>
    </row>
    <row r="3" spans="1:36" ht="13.95" customHeight="1">
      <c r="A3" s="79"/>
      <c r="B3" s="14"/>
      <c r="C3" s="18"/>
      <c r="D3" s="76"/>
      <c r="E3" s="74" t="s">
        <v>260</v>
      </c>
      <c r="F3" s="75" t="s">
        <v>254</v>
      </c>
      <c r="G3" s="74"/>
      <c r="H3" s="106" t="s">
        <v>313</v>
      </c>
      <c r="I3" s="4"/>
      <c r="J3" s="16"/>
      <c r="K3" s="18"/>
      <c r="L3" s="206" t="s">
        <v>260</v>
      </c>
      <c r="M3" s="207" t="s">
        <v>254</v>
      </c>
      <c r="N3" s="206" t="s">
        <v>260</v>
      </c>
      <c r="O3" s="207" t="s">
        <v>254</v>
      </c>
      <c r="P3" s="4"/>
      <c r="AA3" s="14"/>
    </row>
    <row r="4" spans="1:36" ht="13.95" customHeight="1">
      <c r="A4" s="79"/>
      <c r="B4" s="15"/>
      <c r="C4" s="77" t="s">
        <v>253</v>
      </c>
      <c r="D4" s="72" t="s">
        <v>19</v>
      </c>
      <c r="E4" s="70" t="s">
        <v>11</v>
      </c>
      <c r="F4" s="71" t="s">
        <v>12</v>
      </c>
      <c r="G4" s="70" t="s">
        <v>9</v>
      </c>
      <c r="H4" s="78" t="s">
        <v>255</v>
      </c>
      <c r="I4" s="4"/>
      <c r="J4" s="17"/>
      <c r="K4" s="96" t="s">
        <v>256</v>
      </c>
      <c r="L4" s="204" t="s">
        <v>321</v>
      </c>
      <c r="M4" s="205" t="s">
        <v>322</v>
      </c>
      <c r="N4" s="204" t="s">
        <v>323</v>
      </c>
      <c r="O4" s="205" t="s">
        <v>324</v>
      </c>
      <c r="P4" s="4"/>
      <c r="AA4" s="15"/>
      <c r="AJ4" s="8"/>
    </row>
    <row r="5" spans="1:36" ht="13.95" customHeight="1">
      <c r="A5" s="80">
        <v>1</v>
      </c>
      <c r="B5" s="122"/>
      <c r="C5" s="123"/>
      <c r="D5" s="57"/>
      <c r="E5" s="94"/>
      <c r="F5" s="59"/>
      <c r="G5" s="60"/>
      <c r="H5" s="203" t="str">
        <f t="shared" ref="H5:H36" si="0">IF(OR(B5="*",C5=""),"",IF(OR(E5="",F5=""),"-",""))</f>
        <v/>
      </c>
      <c r="I5" s="4"/>
      <c r="J5" s="82">
        <v>1</v>
      </c>
      <c r="K5" s="73"/>
      <c r="L5" s="94"/>
      <c r="M5" s="59"/>
      <c r="N5" s="94"/>
      <c r="O5" s="59"/>
      <c r="P5" s="4"/>
      <c r="AA5" s="101">
        <f t="shared" ref="AA5:AA36" si="1">IF(B5="",0,1)</f>
        <v>0</v>
      </c>
    </row>
    <row r="6" spans="1:36" ht="13.95" customHeight="1">
      <c r="A6" s="80">
        <v>2</v>
      </c>
      <c r="B6" s="122"/>
      <c r="C6" s="123"/>
      <c r="D6" s="57"/>
      <c r="E6" s="94"/>
      <c r="F6" s="59"/>
      <c r="G6" s="60"/>
      <c r="H6" s="203" t="str">
        <f t="shared" si="0"/>
        <v/>
      </c>
      <c r="I6" s="4"/>
      <c r="J6" s="82">
        <v>2</v>
      </c>
      <c r="K6" s="73"/>
      <c r="L6" s="94"/>
      <c r="M6" s="59"/>
      <c r="N6" s="94"/>
      <c r="O6" s="59"/>
      <c r="P6" s="4"/>
      <c r="AA6" s="101">
        <f t="shared" si="1"/>
        <v>0</v>
      </c>
    </row>
    <row r="7" spans="1:36" ht="13.95" customHeight="1">
      <c r="A7" s="80">
        <v>3</v>
      </c>
      <c r="B7" s="122"/>
      <c r="C7" s="123"/>
      <c r="D7" s="57"/>
      <c r="E7" s="94"/>
      <c r="F7" s="59"/>
      <c r="G7" s="60"/>
      <c r="H7" s="203" t="str">
        <f t="shared" si="0"/>
        <v/>
      </c>
      <c r="I7" s="4"/>
      <c r="J7" s="82">
        <v>3</v>
      </c>
      <c r="K7" s="73"/>
      <c r="L7" s="94"/>
      <c r="M7" s="59"/>
      <c r="N7" s="94"/>
      <c r="O7" s="59"/>
      <c r="P7" s="4"/>
      <c r="AA7" s="101">
        <f t="shared" si="1"/>
        <v>0</v>
      </c>
    </row>
    <row r="8" spans="1:36" ht="13.95" customHeight="1">
      <c r="A8" s="80">
        <v>4</v>
      </c>
      <c r="B8" s="122"/>
      <c r="C8" s="123"/>
      <c r="D8" s="57"/>
      <c r="E8" s="94"/>
      <c r="F8" s="59"/>
      <c r="G8" s="60"/>
      <c r="H8" s="203" t="str">
        <f t="shared" si="0"/>
        <v/>
      </c>
      <c r="I8" s="4"/>
      <c r="J8" s="82">
        <v>4</v>
      </c>
      <c r="K8" s="73"/>
      <c r="L8" s="94"/>
      <c r="M8" s="59"/>
      <c r="N8" s="94"/>
      <c r="O8" s="59"/>
      <c r="P8" s="4"/>
      <c r="AA8" s="101">
        <f t="shared" si="1"/>
        <v>0</v>
      </c>
    </row>
    <row r="9" spans="1:36" ht="13.95" customHeight="1">
      <c r="A9" s="80">
        <v>5</v>
      </c>
      <c r="B9" s="122"/>
      <c r="C9" s="123"/>
      <c r="D9" s="57"/>
      <c r="E9" s="94"/>
      <c r="F9" s="59"/>
      <c r="G9" s="60"/>
      <c r="H9" s="203" t="str">
        <f t="shared" si="0"/>
        <v/>
      </c>
      <c r="I9" s="4"/>
      <c r="J9" s="82">
        <v>5</v>
      </c>
      <c r="K9" s="73"/>
      <c r="L9" s="94"/>
      <c r="M9" s="59"/>
      <c r="N9" s="94"/>
      <c r="O9" s="59"/>
      <c r="P9" s="4"/>
      <c r="AA9" s="101">
        <f t="shared" si="1"/>
        <v>0</v>
      </c>
    </row>
    <row r="10" spans="1:36" ht="13.95" customHeight="1">
      <c r="A10" s="80">
        <v>6</v>
      </c>
      <c r="B10" s="122"/>
      <c r="C10" s="123"/>
      <c r="D10" s="57"/>
      <c r="E10" s="94"/>
      <c r="F10" s="59"/>
      <c r="G10" s="60"/>
      <c r="H10" s="203" t="str">
        <f t="shared" si="0"/>
        <v/>
      </c>
      <c r="I10" s="4"/>
      <c r="J10" s="82">
        <v>6</v>
      </c>
      <c r="K10" s="73"/>
      <c r="L10" s="94"/>
      <c r="M10" s="59"/>
      <c r="N10" s="94"/>
      <c r="O10" s="59"/>
      <c r="P10" s="4"/>
      <c r="AA10" s="101">
        <f t="shared" si="1"/>
        <v>0</v>
      </c>
    </row>
    <row r="11" spans="1:36" ht="13.95" customHeight="1">
      <c r="A11" s="80">
        <v>7</v>
      </c>
      <c r="B11" s="122"/>
      <c r="C11" s="123"/>
      <c r="D11" s="57"/>
      <c r="E11" s="94"/>
      <c r="F11" s="59"/>
      <c r="G11" s="60"/>
      <c r="H11" s="203" t="str">
        <f t="shared" si="0"/>
        <v/>
      </c>
      <c r="I11" s="4"/>
      <c r="J11" s="82">
        <v>7</v>
      </c>
      <c r="K11" s="73"/>
      <c r="L11" s="94"/>
      <c r="M11" s="59"/>
      <c r="N11" s="94"/>
      <c r="O11" s="59"/>
      <c r="P11" s="4"/>
      <c r="AA11" s="101">
        <f t="shared" si="1"/>
        <v>0</v>
      </c>
    </row>
    <row r="12" spans="1:36" ht="13.95" customHeight="1">
      <c r="A12" s="80">
        <v>8</v>
      </c>
      <c r="B12" s="122"/>
      <c r="C12" s="123"/>
      <c r="D12" s="57"/>
      <c r="E12" s="94"/>
      <c r="F12" s="59"/>
      <c r="G12" s="60"/>
      <c r="H12" s="203" t="str">
        <f t="shared" si="0"/>
        <v/>
      </c>
      <c r="I12" s="4"/>
      <c r="J12" s="82">
        <v>8</v>
      </c>
      <c r="K12" s="73"/>
      <c r="L12" s="94"/>
      <c r="M12" s="59"/>
      <c r="N12" s="94"/>
      <c r="O12" s="59"/>
      <c r="P12" s="4"/>
      <c r="AA12" s="101">
        <f t="shared" si="1"/>
        <v>0</v>
      </c>
    </row>
    <row r="13" spans="1:36" ht="13.95" customHeight="1">
      <c r="A13" s="80">
        <v>9</v>
      </c>
      <c r="B13" s="122"/>
      <c r="C13" s="123"/>
      <c r="D13" s="57"/>
      <c r="E13" s="94"/>
      <c r="F13" s="59"/>
      <c r="G13" s="60"/>
      <c r="H13" s="203" t="str">
        <f t="shared" si="0"/>
        <v/>
      </c>
      <c r="I13" s="4"/>
      <c r="J13" s="82">
        <v>9</v>
      </c>
      <c r="K13" s="73"/>
      <c r="L13" s="94"/>
      <c r="M13" s="59"/>
      <c r="N13" s="94"/>
      <c r="O13" s="59"/>
      <c r="P13" s="4"/>
      <c r="AA13" s="101">
        <f t="shared" si="1"/>
        <v>0</v>
      </c>
    </row>
    <row r="14" spans="1:36" ht="13.95" customHeight="1">
      <c r="A14" s="80">
        <v>10</v>
      </c>
      <c r="B14" s="122"/>
      <c r="C14" s="123"/>
      <c r="D14" s="57"/>
      <c r="E14" s="94"/>
      <c r="F14" s="59"/>
      <c r="G14" s="60"/>
      <c r="H14" s="203" t="str">
        <f t="shared" si="0"/>
        <v/>
      </c>
      <c r="I14" s="4"/>
      <c r="J14" s="82">
        <v>10</v>
      </c>
      <c r="K14" s="73"/>
      <c r="L14" s="94"/>
      <c r="M14" s="59"/>
      <c r="N14" s="94"/>
      <c r="O14" s="59"/>
      <c r="P14" s="4"/>
      <c r="AA14" s="101">
        <f t="shared" si="1"/>
        <v>0</v>
      </c>
    </row>
    <row r="15" spans="1:36" ht="13.95" customHeight="1">
      <c r="A15" s="80">
        <v>11</v>
      </c>
      <c r="B15" s="122"/>
      <c r="C15" s="123"/>
      <c r="D15" s="57"/>
      <c r="E15" s="94"/>
      <c r="F15" s="59"/>
      <c r="G15" s="60"/>
      <c r="H15" s="203" t="str">
        <f t="shared" si="0"/>
        <v/>
      </c>
      <c r="I15" s="4"/>
      <c r="J15" s="82">
        <v>11</v>
      </c>
      <c r="K15" s="73"/>
      <c r="L15" s="94"/>
      <c r="M15" s="59"/>
      <c r="N15" s="94"/>
      <c r="O15" s="59"/>
      <c r="P15" s="4"/>
      <c r="AA15" s="101">
        <f t="shared" si="1"/>
        <v>0</v>
      </c>
    </row>
    <row r="16" spans="1:36" ht="13.95" customHeight="1">
      <c r="A16" s="80">
        <v>12</v>
      </c>
      <c r="B16" s="122"/>
      <c r="C16" s="123"/>
      <c r="D16" s="57"/>
      <c r="E16" s="94"/>
      <c r="F16" s="59"/>
      <c r="G16" s="60"/>
      <c r="H16" s="203" t="str">
        <f t="shared" si="0"/>
        <v/>
      </c>
      <c r="I16" s="4"/>
      <c r="J16" s="82">
        <v>12</v>
      </c>
      <c r="K16" s="73"/>
      <c r="L16" s="94"/>
      <c r="M16" s="59"/>
      <c r="N16" s="94"/>
      <c r="O16" s="59"/>
      <c r="P16" s="4"/>
      <c r="AA16" s="101">
        <f t="shared" si="1"/>
        <v>0</v>
      </c>
    </row>
    <row r="17" spans="1:27" ht="13.95" customHeight="1">
      <c r="A17" s="80">
        <v>13</v>
      </c>
      <c r="B17" s="122"/>
      <c r="C17" s="123"/>
      <c r="D17" s="57"/>
      <c r="E17" s="94"/>
      <c r="F17" s="59"/>
      <c r="G17" s="60"/>
      <c r="H17" s="203" t="str">
        <f t="shared" si="0"/>
        <v/>
      </c>
      <c r="I17" s="4"/>
      <c r="J17" s="82">
        <v>13</v>
      </c>
      <c r="K17" s="73"/>
      <c r="L17" s="94"/>
      <c r="M17" s="59"/>
      <c r="N17" s="94"/>
      <c r="O17" s="59"/>
      <c r="P17" s="4"/>
      <c r="AA17" s="101">
        <f t="shared" si="1"/>
        <v>0</v>
      </c>
    </row>
    <row r="18" spans="1:27" ht="13.95" customHeight="1">
      <c r="A18" s="80">
        <v>14</v>
      </c>
      <c r="B18" s="122"/>
      <c r="C18" s="123"/>
      <c r="D18" s="57"/>
      <c r="E18" s="94"/>
      <c r="F18" s="59"/>
      <c r="G18" s="60"/>
      <c r="H18" s="203" t="str">
        <f t="shared" si="0"/>
        <v/>
      </c>
      <c r="I18" s="4"/>
      <c r="J18" s="82">
        <v>14</v>
      </c>
      <c r="K18" s="73"/>
      <c r="L18" s="94"/>
      <c r="M18" s="59"/>
      <c r="N18" s="94"/>
      <c r="O18" s="59"/>
      <c r="P18" s="4"/>
      <c r="AA18" s="101">
        <f t="shared" si="1"/>
        <v>0</v>
      </c>
    </row>
    <row r="19" spans="1:27" ht="13.95" customHeight="1">
      <c r="A19" s="80">
        <v>15</v>
      </c>
      <c r="B19" s="122"/>
      <c r="C19" s="123"/>
      <c r="D19" s="57"/>
      <c r="E19" s="94"/>
      <c r="F19" s="59"/>
      <c r="G19" s="60"/>
      <c r="H19" s="203" t="str">
        <f t="shared" si="0"/>
        <v/>
      </c>
      <c r="I19" s="4"/>
      <c r="J19" s="82">
        <v>15</v>
      </c>
      <c r="K19" s="73"/>
      <c r="L19" s="94"/>
      <c r="M19" s="59"/>
      <c r="N19" s="94"/>
      <c r="O19" s="59"/>
      <c r="P19" s="4"/>
      <c r="AA19" s="101">
        <f t="shared" si="1"/>
        <v>0</v>
      </c>
    </row>
    <row r="20" spans="1:27" ht="13.95" customHeight="1">
      <c r="A20" s="80">
        <v>16</v>
      </c>
      <c r="B20" s="122"/>
      <c r="C20" s="123"/>
      <c r="D20" s="57"/>
      <c r="E20" s="94"/>
      <c r="F20" s="59"/>
      <c r="G20" s="60"/>
      <c r="H20" s="203" t="str">
        <f t="shared" si="0"/>
        <v/>
      </c>
      <c r="I20" s="4"/>
      <c r="J20" s="82">
        <v>16</v>
      </c>
      <c r="K20" s="73"/>
      <c r="L20" s="94"/>
      <c r="M20" s="59"/>
      <c r="N20" s="94"/>
      <c r="O20" s="59"/>
      <c r="P20" s="4"/>
      <c r="AA20" s="101">
        <f t="shared" si="1"/>
        <v>0</v>
      </c>
    </row>
    <row r="21" spans="1:27" ht="13.95" customHeight="1">
      <c r="A21" s="80">
        <v>17</v>
      </c>
      <c r="B21" s="122"/>
      <c r="C21" s="123"/>
      <c r="D21" s="57"/>
      <c r="E21" s="94"/>
      <c r="F21" s="59"/>
      <c r="G21" s="60"/>
      <c r="H21" s="203" t="str">
        <f t="shared" si="0"/>
        <v/>
      </c>
      <c r="I21" s="4"/>
      <c r="J21" s="82">
        <v>17</v>
      </c>
      <c r="K21" s="73"/>
      <c r="L21" s="94"/>
      <c r="M21" s="59"/>
      <c r="N21" s="94"/>
      <c r="O21" s="59"/>
      <c r="P21" s="4"/>
      <c r="AA21" s="101">
        <f t="shared" si="1"/>
        <v>0</v>
      </c>
    </row>
    <row r="22" spans="1:27" ht="13.95" customHeight="1">
      <c r="A22" s="80">
        <v>18</v>
      </c>
      <c r="B22" s="122"/>
      <c r="C22" s="123"/>
      <c r="D22" s="58"/>
      <c r="E22" s="94"/>
      <c r="F22" s="59"/>
      <c r="G22" s="60"/>
      <c r="H22" s="203" t="str">
        <f t="shared" si="0"/>
        <v/>
      </c>
      <c r="I22" s="4"/>
      <c r="J22" s="82">
        <v>18</v>
      </c>
      <c r="K22" s="73"/>
      <c r="L22" s="94"/>
      <c r="M22" s="59"/>
      <c r="N22" s="94"/>
      <c r="O22" s="59"/>
      <c r="P22" s="4"/>
      <c r="AA22" s="101">
        <f t="shared" si="1"/>
        <v>0</v>
      </c>
    </row>
    <row r="23" spans="1:27" ht="13.95" customHeight="1">
      <c r="A23" s="80">
        <v>19</v>
      </c>
      <c r="B23" s="122"/>
      <c r="C23" s="123"/>
      <c r="D23" s="57"/>
      <c r="E23" s="94"/>
      <c r="F23" s="59"/>
      <c r="G23" s="60"/>
      <c r="H23" s="203" t="str">
        <f t="shared" si="0"/>
        <v/>
      </c>
      <c r="I23" s="4"/>
      <c r="J23" s="82">
        <v>19</v>
      </c>
      <c r="K23" s="73"/>
      <c r="L23" s="94"/>
      <c r="M23" s="59"/>
      <c r="N23" s="94"/>
      <c r="O23" s="59"/>
      <c r="P23" s="4"/>
      <c r="AA23" s="101">
        <f t="shared" si="1"/>
        <v>0</v>
      </c>
    </row>
    <row r="24" spans="1:27" ht="13.95" customHeight="1">
      <c r="A24" s="80">
        <v>20</v>
      </c>
      <c r="B24" s="122"/>
      <c r="C24" s="123"/>
      <c r="D24" s="57"/>
      <c r="E24" s="94"/>
      <c r="F24" s="59"/>
      <c r="G24" s="60"/>
      <c r="H24" s="203" t="str">
        <f t="shared" si="0"/>
        <v/>
      </c>
      <c r="I24" s="4"/>
      <c r="J24" s="82">
        <v>20</v>
      </c>
      <c r="K24" s="73"/>
      <c r="L24" s="94"/>
      <c r="M24" s="59"/>
      <c r="N24" s="94"/>
      <c r="O24" s="59"/>
      <c r="P24" s="4"/>
      <c r="AA24" s="101">
        <f t="shared" si="1"/>
        <v>0</v>
      </c>
    </row>
    <row r="25" spans="1:27" ht="13.95" customHeight="1">
      <c r="A25" s="80">
        <v>21</v>
      </c>
      <c r="B25" s="122"/>
      <c r="C25" s="123"/>
      <c r="D25" s="57"/>
      <c r="E25" s="94"/>
      <c r="F25" s="59"/>
      <c r="G25" s="60"/>
      <c r="H25" s="203" t="str">
        <f t="shared" si="0"/>
        <v/>
      </c>
      <c r="I25" s="4"/>
      <c r="J25" s="275" t="s">
        <v>359</v>
      </c>
      <c r="K25" s="275"/>
      <c r="L25" s="4"/>
      <c r="M25" s="4"/>
      <c r="N25" s="4"/>
      <c r="O25" s="4"/>
      <c r="P25" s="4"/>
      <c r="AA25" s="101">
        <f t="shared" si="1"/>
        <v>0</v>
      </c>
    </row>
    <row r="26" spans="1:27" ht="13.95" customHeight="1">
      <c r="A26" s="80">
        <v>22</v>
      </c>
      <c r="B26" s="122"/>
      <c r="C26" s="123"/>
      <c r="D26" s="57"/>
      <c r="E26" s="94"/>
      <c r="F26" s="59"/>
      <c r="G26" s="60"/>
      <c r="H26" s="203" t="str">
        <f t="shared" si="0"/>
        <v/>
      </c>
      <c r="I26" s="4"/>
      <c r="J26" s="276"/>
      <c r="K26" s="276"/>
      <c r="L26" s="4"/>
      <c r="M26" s="4"/>
      <c r="N26" s="4"/>
      <c r="O26" s="4"/>
      <c r="P26" s="4"/>
      <c r="AA26" s="101">
        <f t="shared" si="1"/>
        <v>0</v>
      </c>
    </row>
    <row r="27" spans="1:27" ht="13.95" customHeight="1">
      <c r="A27" s="80">
        <v>23</v>
      </c>
      <c r="B27" s="122"/>
      <c r="C27" s="123"/>
      <c r="D27" s="57"/>
      <c r="E27" s="94"/>
      <c r="F27" s="59"/>
      <c r="G27" s="60"/>
      <c r="H27" s="203" t="str">
        <f t="shared" si="0"/>
        <v/>
      </c>
      <c r="I27" s="4"/>
      <c r="J27" s="266"/>
      <c r="K27" s="267"/>
      <c r="L27" s="267"/>
      <c r="M27" s="267"/>
      <c r="N27" s="267"/>
      <c r="O27" s="268"/>
      <c r="P27" s="4"/>
      <c r="AA27" s="101">
        <f t="shared" si="1"/>
        <v>0</v>
      </c>
    </row>
    <row r="28" spans="1:27" ht="13.95" customHeight="1">
      <c r="A28" s="80">
        <v>24</v>
      </c>
      <c r="B28" s="122"/>
      <c r="C28" s="123"/>
      <c r="D28" s="57"/>
      <c r="E28" s="94"/>
      <c r="F28" s="59"/>
      <c r="G28" s="60"/>
      <c r="H28" s="203" t="str">
        <f t="shared" si="0"/>
        <v/>
      </c>
      <c r="I28" s="4"/>
      <c r="J28" s="269"/>
      <c r="K28" s="270"/>
      <c r="L28" s="270"/>
      <c r="M28" s="270"/>
      <c r="N28" s="270"/>
      <c r="O28" s="271"/>
      <c r="P28" s="4"/>
      <c r="AA28" s="101">
        <f t="shared" si="1"/>
        <v>0</v>
      </c>
    </row>
    <row r="29" spans="1:27" ht="13.95" customHeight="1">
      <c r="A29" s="80">
        <v>25</v>
      </c>
      <c r="B29" s="122"/>
      <c r="C29" s="123"/>
      <c r="D29" s="57"/>
      <c r="E29" s="94"/>
      <c r="F29" s="59"/>
      <c r="G29" s="60"/>
      <c r="H29" s="203" t="str">
        <f t="shared" si="0"/>
        <v/>
      </c>
      <c r="I29" s="4"/>
      <c r="J29" s="269"/>
      <c r="K29" s="270"/>
      <c r="L29" s="270"/>
      <c r="M29" s="270"/>
      <c r="N29" s="270"/>
      <c r="O29" s="271"/>
      <c r="P29" s="4"/>
      <c r="AA29" s="101">
        <f t="shared" si="1"/>
        <v>0</v>
      </c>
    </row>
    <row r="30" spans="1:27" ht="13.95" customHeight="1">
      <c r="A30" s="80">
        <v>26</v>
      </c>
      <c r="B30" s="122"/>
      <c r="C30" s="123"/>
      <c r="D30" s="57"/>
      <c r="E30" s="94"/>
      <c r="F30" s="59"/>
      <c r="G30" s="60"/>
      <c r="H30" s="203" t="str">
        <f t="shared" si="0"/>
        <v/>
      </c>
      <c r="I30" s="4"/>
      <c r="J30" s="269"/>
      <c r="K30" s="270"/>
      <c r="L30" s="270"/>
      <c r="M30" s="270"/>
      <c r="N30" s="270"/>
      <c r="O30" s="271"/>
      <c r="P30" s="4"/>
      <c r="AA30" s="101">
        <f t="shared" si="1"/>
        <v>0</v>
      </c>
    </row>
    <row r="31" spans="1:27" ht="13.95" customHeight="1">
      <c r="A31" s="80">
        <v>27</v>
      </c>
      <c r="B31" s="122"/>
      <c r="C31" s="123"/>
      <c r="D31" s="57"/>
      <c r="E31" s="94"/>
      <c r="F31" s="59"/>
      <c r="G31" s="60"/>
      <c r="H31" s="203" t="str">
        <f t="shared" si="0"/>
        <v/>
      </c>
      <c r="I31" s="4"/>
      <c r="J31" s="269"/>
      <c r="K31" s="270"/>
      <c r="L31" s="270"/>
      <c r="M31" s="270"/>
      <c r="N31" s="270"/>
      <c r="O31" s="271"/>
      <c r="P31" s="4"/>
      <c r="AA31" s="101">
        <f t="shared" si="1"/>
        <v>0</v>
      </c>
    </row>
    <row r="32" spans="1:27" ht="13.95"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5"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5"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5" customHeight="1">
      <c r="A35" s="80">
        <v>31</v>
      </c>
      <c r="B35" s="122"/>
      <c r="C35" s="123"/>
      <c r="D35" s="57"/>
      <c r="E35" s="94"/>
      <c r="F35" s="59"/>
      <c r="G35" s="60"/>
      <c r="H35" s="203" t="str">
        <f t="shared" si="0"/>
        <v/>
      </c>
      <c r="I35" s="4"/>
      <c r="J35" s="4"/>
      <c r="K35" s="4"/>
      <c r="L35" s="4"/>
      <c r="M35" s="4"/>
      <c r="N35" s="4"/>
      <c r="O35" s="4"/>
      <c r="P35" s="4"/>
      <c r="AA35" s="101">
        <f t="shared" si="1"/>
        <v>0</v>
      </c>
    </row>
    <row r="36" spans="1:27" ht="13.95" customHeight="1">
      <c r="A36" s="80">
        <v>32</v>
      </c>
      <c r="B36" s="122"/>
      <c r="C36" s="123"/>
      <c r="D36" s="57"/>
      <c r="E36" s="94"/>
      <c r="F36" s="59"/>
      <c r="G36" s="60"/>
      <c r="H36" s="203" t="str">
        <f t="shared" si="0"/>
        <v/>
      </c>
      <c r="I36" s="4"/>
      <c r="J36" s="4"/>
      <c r="K36" s="4"/>
      <c r="L36" s="4"/>
      <c r="M36" s="4"/>
      <c r="N36" s="4"/>
      <c r="O36" s="4"/>
      <c r="P36" s="4"/>
      <c r="AA36" s="101">
        <f t="shared" si="1"/>
        <v>0</v>
      </c>
    </row>
    <row r="37" spans="1:27" ht="13.95"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5" customHeight="1">
      <c r="A38" s="80">
        <v>34</v>
      </c>
      <c r="B38" s="122"/>
      <c r="C38" s="123"/>
      <c r="D38" s="57"/>
      <c r="E38" s="94"/>
      <c r="F38" s="59"/>
      <c r="G38" s="60"/>
      <c r="H38" s="203" t="str">
        <f t="shared" si="2"/>
        <v/>
      </c>
      <c r="I38" s="4"/>
      <c r="J38" s="4"/>
      <c r="K38" s="4"/>
      <c r="L38" s="4"/>
      <c r="M38" s="4"/>
      <c r="N38" s="4"/>
      <c r="O38" s="4"/>
      <c r="P38" s="4"/>
      <c r="AA38" s="101">
        <f t="shared" si="3"/>
        <v>0</v>
      </c>
    </row>
    <row r="39" spans="1:27" ht="13.95" customHeight="1">
      <c r="A39" s="80">
        <v>35</v>
      </c>
      <c r="B39" s="122"/>
      <c r="C39" s="123"/>
      <c r="D39" s="57"/>
      <c r="E39" s="94"/>
      <c r="F39" s="59"/>
      <c r="G39" s="60"/>
      <c r="H39" s="203" t="str">
        <f t="shared" si="2"/>
        <v/>
      </c>
      <c r="I39" s="4"/>
      <c r="J39" s="4"/>
      <c r="K39" s="4"/>
      <c r="L39" s="4"/>
      <c r="M39" s="4"/>
      <c r="N39" s="4"/>
      <c r="O39" s="4"/>
      <c r="P39" s="4"/>
      <c r="AA39" s="101">
        <f t="shared" si="3"/>
        <v>0</v>
      </c>
    </row>
    <row r="40" spans="1:27" ht="13.95" customHeight="1">
      <c r="A40" s="80">
        <v>36</v>
      </c>
      <c r="B40" s="122"/>
      <c r="C40" s="123"/>
      <c r="D40" s="57"/>
      <c r="E40" s="94"/>
      <c r="F40" s="59"/>
      <c r="G40" s="60"/>
      <c r="H40" s="203" t="str">
        <f t="shared" si="2"/>
        <v/>
      </c>
      <c r="I40" s="4"/>
      <c r="J40" s="4"/>
      <c r="K40" s="4"/>
      <c r="L40" s="4"/>
      <c r="M40" s="4"/>
      <c r="N40" s="4"/>
      <c r="O40" s="4"/>
      <c r="P40" s="4"/>
      <c r="AA40" s="101">
        <f t="shared" si="3"/>
        <v>0</v>
      </c>
    </row>
    <row r="41" spans="1:27" ht="13.95" customHeight="1">
      <c r="A41" s="80">
        <v>37</v>
      </c>
      <c r="B41" s="122"/>
      <c r="C41" s="123"/>
      <c r="D41" s="57"/>
      <c r="E41" s="94"/>
      <c r="F41" s="59"/>
      <c r="G41" s="60"/>
      <c r="H41" s="203" t="str">
        <f t="shared" si="2"/>
        <v/>
      </c>
      <c r="I41" s="4"/>
      <c r="J41" s="4"/>
      <c r="K41" s="4"/>
      <c r="L41" s="4"/>
      <c r="M41" s="4"/>
      <c r="N41" s="4"/>
      <c r="O41" s="4"/>
      <c r="P41" s="4"/>
      <c r="AA41" s="101">
        <f t="shared" si="3"/>
        <v>0</v>
      </c>
    </row>
    <row r="42" spans="1:27" ht="13.95" customHeight="1">
      <c r="A42" s="80">
        <v>38</v>
      </c>
      <c r="B42" s="122"/>
      <c r="C42" s="123"/>
      <c r="D42" s="57"/>
      <c r="E42" s="94"/>
      <c r="F42" s="59"/>
      <c r="G42" s="60"/>
      <c r="H42" s="203" t="str">
        <f t="shared" si="2"/>
        <v/>
      </c>
      <c r="I42" s="4"/>
      <c r="J42" s="4"/>
      <c r="K42" s="4"/>
      <c r="L42" s="4"/>
      <c r="M42" s="4"/>
      <c r="N42" s="4"/>
      <c r="O42" s="4"/>
      <c r="P42" s="4"/>
      <c r="AA42" s="101">
        <f t="shared" si="3"/>
        <v>0</v>
      </c>
    </row>
    <row r="43" spans="1:27" ht="13.95" customHeight="1">
      <c r="A43" s="80">
        <v>39</v>
      </c>
      <c r="B43" s="122"/>
      <c r="C43" s="123"/>
      <c r="D43" s="57"/>
      <c r="E43" s="94"/>
      <c r="F43" s="59"/>
      <c r="G43" s="60"/>
      <c r="H43" s="203" t="str">
        <f t="shared" si="2"/>
        <v/>
      </c>
      <c r="I43" s="4"/>
      <c r="J43" s="4"/>
      <c r="K43" s="4"/>
      <c r="L43" s="4"/>
      <c r="M43" s="4"/>
      <c r="N43" s="4"/>
      <c r="O43" s="4"/>
      <c r="P43" s="4"/>
      <c r="AA43" s="101">
        <f t="shared" si="3"/>
        <v>0</v>
      </c>
    </row>
    <row r="44" spans="1:27" ht="13.95" customHeight="1">
      <c r="A44" s="80">
        <v>40</v>
      </c>
      <c r="B44" s="122"/>
      <c r="C44" s="123"/>
      <c r="D44" s="57"/>
      <c r="E44" s="94"/>
      <c r="F44" s="59"/>
      <c r="G44" s="60"/>
      <c r="H44" s="203" t="str">
        <f t="shared" si="2"/>
        <v/>
      </c>
      <c r="I44" s="4"/>
      <c r="J44" s="4"/>
      <c r="K44" s="4"/>
      <c r="L44" s="4"/>
      <c r="M44" s="4"/>
      <c r="N44" s="4"/>
      <c r="O44" s="4"/>
      <c r="P44" s="4"/>
      <c r="AA44" s="101">
        <f t="shared" si="3"/>
        <v>0</v>
      </c>
    </row>
    <row r="45" spans="1:27" ht="13.95" customHeight="1">
      <c r="A45" s="80">
        <v>41</v>
      </c>
      <c r="B45" s="122"/>
      <c r="C45" s="123"/>
      <c r="D45" s="57"/>
      <c r="E45" s="94"/>
      <c r="F45" s="59"/>
      <c r="G45" s="60"/>
      <c r="H45" s="203" t="str">
        <f t="shared" si="2"/>
        <v/>
      </c>
      <c r="I45" s="4"/>
      <c r="J45" s="4"/>
      <c r="K45" s="4"/>
      <c r="L45" s="4"/>
      <c r="M45" s="4"/>
      <c r="N45" s="4"/>
      <c r="O45" s="4"/>
      <c r="P45" s="4"/>
      <c r="AA45" s="101">
        <f t="shared" si="3"/>
        <v>0</v>
      </c>
    </row>
    <row r="46" spans="1:27" ht="13.95" customHeight="1">
      <c r="A46" s="80">
        <v>42</v>
      </c>
      <c r="B46" s="122"/>
      <c r="C46" s="123"/>
      <c r="D46" s="57"/>
      <c r="E46" s="94"/>
      <c r="F46" s="59"/>
      <c r="G46" s="60"/>
      <c r="H46" s="203" t="str">
        <f t="shared" si="2"/>
        <v/>
      </c>
      <c r="I46" s="4"/>
      <c r="J46" s="4"/>
      <c r="K46" s="4"/>
      <c r="L46" s="4"/>
      <c r="M46" s="4"/>
      <c r="N46" s="4"/>
      <c r="O46" s="4"/>
      <c r="P46" s="4"/>
      <c r="AA46" s="101">
        <f t="shared" si="3"/>
        <v>0</v>
      </c>
    </row>
    <row r="47" spans="1:27" ht="13.95" customHeight="1">
      <c r="A47" s="80">
        <v>43</v>
      </c>
      <c r="B47" s="122"/>
      <c r="C47" s="123"/>
      <c r="D47" s="57"/>
      <c r="E47" s="94"/>
      <c r="F47" s="59"/>
      <c r="G47" s="60"/>
      <c r="H47" s="203" t="str">
        <f t="shared" si="2"/>
        <v/>
      </c>
      <c r="I47" s="4"/>
      <c r="J47" s="4"/>
      <c r="K47" s="4"/>
      <c r="L47" s="4"/>
      <c r="M47" s="4"/>
      <c r="N47" s="4"/>
      <c r="O47" s="4"/>
      <c r="P47" s="4"/>
      <c r="AA47" s="101">
        <f t="shared" si="3"/>
        <v>0</v>
      </c>
    </row>
    <row r="48" spans="1:27" ht="13.95" customHeight="1">
      <c r="A48" s="80">
        <v>44</v>
      </c>
      <c r="B48" s="122"/>
      <c r="C48" s="123"/>
      <c r="D48" s="57"/>
      <c r="E48" s="94"/>
      <c r="F48" s="59"/>
      <c r="G48" s="60"/>
      <c r="H48" s="203" t="str">
        <f t="shared" si="2"/>
        <v/>
      </c>
      <c r="I48" s="4"/>
      <c r="J48" s="4"/>
      <c r="K48" s="4"/>
      <c r="L48" s="4"/>
      <c r="M48" s="4"/>
      <c r="N48" s="4"/>
      <c r="O48" s="4"/>
      <c r="P48" s="4"/>
      <c r="AA48" s="101">
        <f t="shared" si="3"/>
        <v>0</v>
      </c>
    </row>
    <row r="49" spans="1:27" ht="13.95" customHeight="1">
      <c r="A49" s="80">
        <v>45</v>
      </c>
      <c r="B49" s="122"/>
      <c r="C49" s="123"/>
      <c r="D49" s="57"/>
      <c r="E49" s="94"/>
      <c r="F49" s="59"/>
      <c r="G49" s="60"/>
      <c r="H49" s="203" t="str">
        <f t="shared" si="2"/>
        <v/>
      </c>
      <c r="I49" s="4"/>
      <c r="J49" s="4"/>
      <c r="K49" s="4"/>
      <c r="L49" s="4"/>
      <c r="M49" s="4"/>
      <c r="N49" s="4"/>
      <c r="O49" s="4"/>
      <c r="P49" s="4"/>
      <c r="AA49" s="101">
        <f t="shared" si="3"/>
        <v>0</v>
      </c>
    </row>
    <row r="50" spans="1:27" ht="13.95" customHeight="1">
      <c r="A50" s="80">
        <v>46</v>
      </c>
      <c r="B50" s="122"/>
      <c r="C50" s="123"/>
      <c r="D50" s="57"/>
      <c r="E50" s="94"/>
      <c r="F50" s="59"/>
      <c r="G50" s="60"/>
      <c r="H50" s="203" t="str">
        <f t="shared" si="2"/>
        <v/>
      </c>
      <c r="I50" s="4"/>
      <c r="J50" s="4"/>
      <c r="K50" s="4"/>
      <c r="L50" s="4"/>
      <c r="M50" s="4"/>
      <c r="N50" s="4"/>
      <c r="O50" s="4"/>
      <c r="P50" s="4"/>
      <c r="AA50" s="101">
        <f t="shared" si="3"/>
        <v>0</v>
      </c>
    </row>
    <row r="51" spans="1:27" ht="13.95" customHeight="1">
      <c r="A51" s="80">
        <v>47</v>
      </c>
      <c r="B51" s="122"/>
      <c r="C51" s="123"/>
      <c r="D51" s="57"/>
      <c r="E51" s="94"/>
      <c r="F51" s="59"/>
      <c r="G51" s="60"/>
      <c r="H51" s="203" t="str">
        <f t="shared" si="2"/>
        <v/>
      </c>
      <c r="I51" s="4"/>
      <c r="J51" s="4"/>
      <c r="K51" s="4"/>
      <c r="L51" s="4"/>
      <c r="M51" s="4"/>
      <c r="N51" s="4"/>
      <c r="O51" s="4"/>
      <c r="P51" s="4"/>
      <c r="AA51" s="101">
        <f t="shared" si="3"/>
        <v>0</v>
      </c>
    </row>
    <row r="52" spans="1:27" ht="13.95" customHeight="1">
      <c r="A52" s="80">
        <v>48</v>
      </c>
      <c r="B52" s="122"/>
      <c r="C52" s="123"/>
      <c r="D52" s="57"/>
      <c r="E52" s="94"/>
      <c r="F52" s="59"/>
      <c r="G52" s="60"/>
      <c r="H52" s="203" t="str">
        <f t="shared" si="2"/>
        <v/>
      </c>
      <c r="I52" s="4"/>
      <c r="J52" s="4"/>
      <c r="K52" s="4"/>
      <c r="L52" s="4"/>
      <c r="M52" s="4"/>
      <c r="N52" s="4"/>
      <c r="O52" s="4"/>
      <c r="P52" s="4"/>
      <c r="AA52" s="101">
        <f t="shared" si="3"/>
        <v>0</v>
      </c>
    </row>
    <row r="53" spans="1:27" ht="13.95" customHeight="1">
      <c r="A53" s="80">
        <v>49</v>
      </c>
      <c r="B53" s="122"/>
      <c r="C53" s="123"/>
      <c r="D53" s="57"/>
      <c r="E53" s="94"/>
      <c r="F53" s="59"/>
      <c r="G53" s="60"/>
      <c r="H53" s="203" t="str">
        <f t="shared" si="2"/>
        <v/>
      </c>
      <c r="I53" s="4"/>
      <c r="J53" s="4"/>
      <c r="K53" s="4"/>
      <c r="L53" s="4"/>
      <c r="M53" s="4"/>
      <c r="N53" s="4"/>
      <c r="O53" s="4"/>
      <c r="P53" s="4"/>
      <c r="AA53" s="101">
        <f t="shared" si="3"/>
        <v>0</v>
      </c>
    </row>
    <row r="54" spans="1:27" ht="13.95" customHeight="1">
      <c r="A54" s="80">
        <v>50</v>
      </c>
      <c r="B54" s="122"/>
      <c r="C54" s="123"/>
      <c r="D54" s="57"/>
      <c r="E54" s="94"/>
      <c r="F54" s="59"/>
      <c r="G54" s="60"/>
      <c r="H54" s="203" t="str">
        <f t="shared" si="2"/>
        <v/>
      </c>
      <c r="I54" s="4"/>
      <c r="J54" s="4"/>
      <c r="K54" s="4"/>
      <c r="L54" s="4"/>
      <c r="M54" s="4"/>
      <c r="N54" s="4"/>
      <c r="O54" s="4"/>
      <c r="P54" s="4"/>
      <c r="AA54" s="101">
        <f t="shared" si="3"/>
        <v>0</v>
      </c>
    </row>
    <row r="55" spans="1:27" ht="13.95" customHeight="1">
      <c r="A55" s="79"/>
      <c r="B55" s="13"/>
      <c r="C55" s="69"/>
      <c r="D55" s="3"/>
      <c r="E55" s="4"/>
      <c r="F55" s="4"/>
      <c r="G55" s="4"/>
      <c r="H55" s="4"/>
      <c r="I55" s="4"/>
      <c r="J55" s="4"/>
      <c r="K55" s="4"/>
      <c r="L55" s="4"/>
      <c r="M55" s="4"/>
      <c r="N55" s="4"/>
      <c r="O55" s="4"/>
      <c r="P55" s="4"/>
    </row>
    <row r="56" spans="1:27" ht="13.95" customHeight="1">
      <c r="A56" s="79"/>
      <c r="B56" s="69"/>
      <c r="C56" s="69"/>
      <c r="D56" s="3"/>
      <c r="E56" s="3"/>
      <c r="F56" s="3"/>
      <c r="G56" s="3"/>
      <c r="H56" s="3"/>
      <c r="I56" s="4"/>
      <c r="J56" s="4"/>
      <c r="K56" s="4"/>
      <c r="L56" s="4"/>
      <c r="M56" s="4"/>
      <c r="N56" s="4"/>
      <c r="O56" s="4"/>
      <c r="P56" s="4"/>
    </row>
    <row r="57" spans="1:27" ht="13.95" customHeight="1">
      <c r="A57" s="79"/>
      <c r="B57" s="13"/>
      <c r="C57" s="13"/>
      <c r="D57" s="13"/>
      <c r="E57" s="13"/>
      <c r="F57" s="13"/>
      <c r="G57" s="13"/>
      <c r="H57" s="13"/>
      <c r="I57" s="4"/>
      <c r="J57" s="4"/>
      <c r="K57" s="4"/>
      <c r="L57" s="4"/>
      <c r="M57" s="4"/>
      <c r="N57" s="4"/>
      <c r="O57" s="4"/>
      <c r="P57" s="4"/>
    </row>
    <row r="58" spans="1:27" ht="13.95" customHeight="1">
      <c r="A58" s="79"/>
      <c r="B58" s="13"/>
      <c r="C58" s="13"/>
      <c r="D58" s="13"/>
      <c r="E58" s="13"/>
      <c r="F58" s="13"/>
      <c r="G58" s="13"/>
      <c r="H58" s="13"/>
      <c r="I58" s="4"/>
      <c r="J58" s="4"/>
      <c r="K58" s="4"/>
      <c r="L58" s="4"/>
      <c r="M58" s="4"/>
      <c r="N58" s="4"/>
      <c r="O58" s="4"/>
      <c r="P58" s="4"/>
    </row>
    <row r="59" spans="1:27" ht="13.95" customHeight="1">
      <c r="A59" s="80"/>
      <c r="B59" s="9"/>
      <c r="C59" s="9"/>
      <c r="D59" s="9"/>
      <c r="E59" s="9"/>
      <c r="F59" s="9"/>
      <c r="G59" s="9"/>
      <c r="H59" s="9"/>
      <c r="I59" s="4"/>
      <c r="J59" s="4"/>
      <c r="K59" s="4"/>
      <c r="L59" s="4"/>
      <c r="M59" s="4"/>
      <c r="N59" s="4"/>
      <c r="O59" s="4"/>
      <c r="P59" s="4"/>
    </row>
    <row r="60" spans="1:27" ht="13.95" customHeight="1">
      <c r="A60" s="80"/>
      <c r="B60" s="9"/>
      <c r="C60" s="9"/>
      <c r="D60" s="9"/>
      <c r="E60" s="9"/>
      <c r="F60" s="9"/>
      <c r="G60" s="9"/>
      <c r="H60" s="9"/>
      <c r="I60" s="4"/>
      <c r="J60" s="4"/>
      <c r="K60" s="4"/>
      <c r="L60" s="4"/>
      <c r="M60" s="4"/>
      <c r="N60" s="4"/>
      <c r="O60" s="4"/>
      <c r="P60" s="4"/>
    </row>
    <row r="61" spans="1:27" ht="13.95" customHeight="1">
      <c r="A61" s="80"/>
      <c r="B61" s="9"/>
      <c r="C61" s="9"/>
      <c r="D61" s="9"/>
      <c r="E61" s="9"/>
      <c r="F61" s="9"/>
      <c r="G61" s="9"/>
      <c r="H61" s="9"/>
      <c r="I61" s="4"/>
      <c r="J61" s="4"/>
      <c r="K61" s="4"/>
      <c r="L61" s="4"/>
      <c r="M61" s="4"/>
      <c r="N61" s="4"/>
      <c r="O61" s="4"/>
      <c r="P61" s="4"/>
    </row>
    <row r="62" spans="1:27" ht="13.95" customHeight="1">
      <c r="A62" s="80"/>
      <c r="B62" s="9"/>
      <c r="C62" s="9"/>
      <c r="D62" s="9"/>
      <c r="E62" s="9"/>
      <c r="F62" s="9"/>
      <c r="G62" s="9"/>
      <c r="H62" s="9"/>
      <c r="I62" s="4"/>
      <c r="J62" s="4"/>
      <c r="K62" s="4"/>
      <c r="L62" s="4"/>
      <c r="M62" s="4"/>
      <c r="N62" s="4"/>
      <c r="O62" s="4"/>
      <c r="P62" s="4"/>
    </row>
    <row r="63" spans="1:27" ht="13.95" customHeight="1">
      <c r="A63" s="80"/>
      <c r="B63" s="9"/>
      <c r="C63" s="9"/>
      <c r="D63" s="9"/>
      <c r="E63" s="9"/>
      <c r="F63" s="9"/>
      <c r="G63" s="9"/>
      <c r="H63" s="9"/>
      <c r="I63" s="4"/>
      <c r="J63" s="4"/>
      <c r="K63" s="4"/>
      <c r="L63" s="4"/>
      <c r="M63" s="4"/>
      <c r="N63" s="4"/>
      <c r="O63" s="4"/>
      <c r="P63" s="4"/>
    </row>
    <row r="64" spans="1:27" ht="13.95" customHeight="1">
      <c r="A64" s="80"/>
      <c r="B64" s="9"/>
      <c r="C64" s="9"/>
      <c r="D64" s="9"/>
      <c r="E64" s="9"/>
      <c r="F64" s="9"/>
      <c r="G64" s="9"/>
      <c r="H64" s="9"/>
      <c r="I64" s="4"/>
      <c r="J64" s="4"/>
      <c r="K64" s="4"/>
      <c r="L64" s="4"/>
      <c r="M64" s="4"/>
      <c r="N64" s="4"/>
      <c r="O64" s="4"/>
      <c r="P64" s="4"/>
    </row>
    <row r="65" spans="1:16" ht="13.95" customHeight="1">
      <c r="A65" s="80"/>
      <c r="B65" s="9"/>
      <c r="C65" s="9"/>
      <c r="D65" s="9"/>
      <c r="E65" s="9"/>
      <c r="F65" s="9"/>
      <c r="G65" s="9"/>
      <c r="H65" s="9"/>
      <c r="I65" s="4"/>
      <c r="J65" s="4"/>
      <c r="K65" s="4"/>
      <c r="L65" s="4"/>
      <c r="M65" s="4"/>
      <c r="N65" s="4"/>
      <c r="O65" s="4"/>
      <c r="P65" s="4"/>
    </row>
    <row r="66" spans="1:16" ht="13.95" customHeight="1">
      <c r="A66" s="107"/>
      <c r="B66" s="108"/>
      <c r="C66" s="108"/>
      <c r="D66" s="108"/>
      <c r="E66" s="108"/>
      <c r="F66" s="108"/>
      <c r="G66" s="108"/>
      <c r="H66" s="108"/>
    </row>
    <row r="67" spans="1:16" ht="13.95" customHeight="1">
      <c r="A67" s="107"/>
      <c r="B67" s="108"/>
      <c r="C67" s="108"/>
      <c r="D67" s="108"/>
      <c r="E67" s="108"/>
      <c r="F67" s="108"/>
      <c r="G67" s="108"/>
      <c r="H67" s="108"/>
    </row>
    <row r="68" spans="1:16" ht="13.95" customHeight="1">
      <c r="A68" s="107"/>
      <c r="B68" s="108"/>
      <c r="C68" s="108"/>
      <c r="D68" s="108"/>
      <c r="E68" s="108"/>
      <c r="F68" s="108"/>
      <c r="G68" s="108"/>
      <c r="H68" s="108"/>
    </row>
    <row r="69" spans="1:16" ht="13.95" customHeight="1">
      <c r="A69" s="107"/>
      <c r="B69" s="108"/>
      <c r="C69" s="108"/>
      <c r="D69" s="108"/>
      <c r="E69" s="108"/>
      <c r="F69" s="108"/>
      <c r="G69" s="108"/>
      <c r="H69" s="108"/>
    </row>
    <row r="70" spans="1:16" ht="13.95" customHeight="1">
      <c r="A70" s="107"/>
      <c r="B70" s="108"/>
      <c r="C70" s="108"/>
      <c r="D70" s="108"/>
      <c r="E70" s="108"/>
      <c r="F70" s="108"/>
      <c r="G70" s="108"/>
      <c r="H70" s="108"/>
    </row>
    <row r="71" spans="1:16" ht="13.95" customHeight="1">
      <c r="A71" s="107"/>
      <c r="B71" s="108"/>
      <c r="C71" s="108"/>
      <c r="D71" s="108"/>
      <c r="E71" s="108"/>
      <c r="F71" s="108"/>
      <c r="G71" s="108"/>
      <c r="H71" s="108"/>
    </row>
  </sheetData>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tabSelected="1" zoomScaleNormal="100" workbookViewId="0">
      <selection activeCell="F5" sqref="F5:G5"/>
    </sheetView>
  </sheetViews>
  <sheetFormatPr defaultColWidth="8.69921875" defaultRowHeight="15" customHeight="1"/>
  <cols>
    <col min="1" max="1" width="3.3984375" style="43" customWidth="1"/>
    <col min="2" max="2" width="32.69921875" style="43" customWidth="1"/>
    <col min="3" max="7" width="16.59765625" style="45" customWidth="1"/>
    <col min="8" max="9" width="3.3984375" style="43" customWidth="1"/>
    <col min="10" max="11" width="14" style="165" customWidth="1"/>
    <col min="12" max="12" width="4.69921875" style="165" customWidth="1"/>
    <col min="13" max="14" width="14" style="165" customWidth="1"/>
    <col min="15" max="15" width="3.3984375" style="165" customWidth="1"/>
    <col min="16" max="20" width="14" style="165" customWidth="1"/>
    <col min="21" max="21" width="3.3984375" style="165" customWidth="1"/>
    <col min="22" max="26" width="14" style="165" customWidth="1"/>
    <col min="27" max="27" width="3.3984375" style="165" customWidth="1"/>
    <col min="28" max="32" width="14" style="165" customWidth="1"/>
    <col min="33" max="33" width="3.3984375" style="165" customWidth="1"/>
    <col min="34" max="38" width="14" style="165" customWidth="1"/>
    <col min="39" max="39" width="3.3984375" style="165" customWidth="1"/>
    <col min="40" max="44" width="14" style="165" customWidth="1"/>
    <col min="45" max="45" width="3.3984375" style="165" customWidth="1"/>
    <col min="46" max="50" width="14" style="165" customWidth="1"/>
    <col min="51" max="51" width="3.3984375" style="165" customWidth="1"/>
    <col min="52" max="56" width="14" style="165" customWidth="1"/>
    <col min="57" max="57" width="3.3984375" style="165" customWidth="1"/>
    <col min="58" max="62" width="14" style="165" customWidth="1"/>
    <col min="63" max="16384" width="8.69921875" style="43"/>
  </cols>
  <sheetData>
    <row r="1" spans="1:78" ht="15" customHeight="1">
      <c r="A1" s="36"/>
      <c r="B1" s="277" t="s">
        <v>231</v>
      </c>
      <c r="C1" s="25"/>
      <c r="D1" s="25"/>
      <c r="E1" s="25"/>
      <c r="F1" s="25"/>
      <c r="G1" s="25"/>
      <c r="H1" s="36"/>
      <c r="J1" s="283" t="s">
        <v>635</v>
      </c>
      <c r="K1" s="284"/>
      <c r="L1" s="284"/>
      <c r="M1" s="284"/>
      <c r="N1" s="285"/>
    </row>
    <row r="2" spans="1:78" ht="15" customHeight="1">
      <c r="A2" s="36"/>
      <c r="B2" s="277"/>
      <c r="C2" s="25"/>
      <c r="D2" s="25"/>
      <c r="E2" s="164"/>
      <c r="F2" s="164"/>
      <c r="G2" s="25"/>
      <c r="H2" s="36"/>
      <c r="J2" s="193" t="s">
        <v>332</v>
      </c>
      <c r="K2" s="197">
        <v>37</v>
      </c>
      <c r="L2" s="251"/>
      <c r="M2" s="193" t="s">
        <v>331</v>
      </c>
      <c r="N2" s="196">
        <v>0.83930000000000005</v>
      </c>
    </row>
    <row r="3" spans="1:78" ht="15" customHeight="1">
      <c r="A3" s="36"/>
      <c r="B3" s="38"/>
      <c r="C3" s="25"/>
      <c r="D3" s="25"/>
      <c r="E3" s="25"/>
      <c r="F3" s="41"/>
      <c r="G3" s="25"/>
      <c r="H3" s="36"/>
      <c r="J3" s="193" t="s">
        <v>331</v>
      </c>
      <c r="K3" s="194">
        <f>IF(K2="","",IF(K2&lt;0,ROUND((141.5/(K2+131.5))-0.0008,4),ROUND((VLOOKUP(ROUND(INT(K2*10)/10+0.1,1),TABLE3,2)-VLOOKUP(INT(K2*10)/10,TABLE3,2))*(((K2*100)-INT(K2*10)*10)/10)+VLOOKUP(INT(K2*10)/10,TABLE3,2),4)))</f>
        <v>0.83930000000000005</v>
      </c>
      <c r="L3" s="252"/>
      <c r="M3" s="193" t="s">
        <v>332</v>
      </c>
      <c r="N3" s="195">
        <f ca="1">IF(N2="","",IF(N2&gt;1.076,ROUND((141.5/(N2+0.0008))-131.5,2),ROUND(FORECAST(N2,OFFSET(DENSHELL,MATCH(N2,DENVAC,1),1,2),OFFSET(DENSHELL,MATCH(N2,DENVAC,1),,2)),2)))</f>
        <v>37</v>
      </c>
    </row>
    <row r="4" spans="1:78" ht="15" customHeight="1">
      <c r="A4" s="36"/>
      <c r="B4" s="36" t="s">
        <v>223</v>
      </c>
      <c r="C4" s="95">
        <v>45243</v>
      </c>
      <c r="D4" s="168" t="s">
        <v>314</v>
      </c>
      <c r="E4" s="25"/>
      <c r="F4" s="290" t="s">
        <v>834</v>
      </c>
      <c r="G4" s="291"/>
      <c r="H4" s="36"/>
    </row>
    <row r="5" spans="1:78" ht="15" customHeight="1">
      <c r="A5" s="36"/>
      <c r="B5" s="42" t="s">
        <v>224</v>
      </c>
      <c r="C5" s="46" t="s">
        <v>832</v>
      </c>
      <c r="D5" s="168" t="s">
        <v>226</v>
      </c>
      <c r="E5" s="25"/>
      <c r="F5" s="286" t="s">
        <v>838</v>
      </c>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t="s">
        <v>836</v>
      </c>
      <c r="D6" s="168" t="s">
        <v>264</v>
      </c>
      <c r="E6" s="25"/>
      <c r="F6" s="288" t="str">
        <f>IF('Navarik 설정'!C22="","",'Navarik 설정'!C22)</f>
        <v>Unleaded Gasoline 91</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315</v>
      </c>
      <c r="C7" s="46" t="s">
        <v>837</v>
      </c>
      <c r="D7" s="168" t="s">
        <v>317</v>
      </c>
      <c r="E7" s="25"/>
      <c r="F7" s="61">
        <v>0.99939999999999996</v>
      </c>
      <c r="G7" s="200" t="s">
        <v>387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316</v>
      </c>
      <c r="C8" s="95">
        <v>45254</v>
      </c>
      <c r="D8" s="168" t="s">
        <v>318</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401</v>
      </c>
      <c r="C10" s="25" t="s">
        <v>675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f>IF(C12="","",C12)</f>
        <v>50267</v>
      </c>
      <c r="D11" s="31">
        <f t="shared" ref="D11" si="0">IF(D12="","",D12)</f>
        <v>7986.4210000000003</v>
      </c>
      <c r="E11" s="30">
        <f>IF(E12="","",E12)</f>
        <v>5770.5</v>
      </c>
      <c r="F11" s="31">
        <f>IF(F12="","",F12)</f>
        <v>5863.1</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638</v>
      </c>
      <c r="C12" s="27">
        <v>50267</v>
      </c>
      <c r="D12" s="28">
        <v>7986.4210000000003</v>
      </c>
      <c r="E12" s="27">
        <v>5770.5</v>
      </c>
      <c r="F12" s="28">
        <v>5863.1</v>
      </c>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f>IF(C12="","",C12)</f>
        <v>50267</v>
      </c>
      <c r="D13" s="31">
        <f t="shared" ref="D13" si="1">IF(D12="","",D12)</f>
        <v>7986.4210000000003</v>
      </c>
      <c r="E13" s="30">
        <f>IF(E12="","",E12)</f>
        <v>5770.5</v>
      </c>
      <c r="F13" s="31">
        <f>IF(F12="","",F12)</f>
        <v>5863.1</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t="s">
        <v>835</v>
      </c>
      <c r="D15" s="44"/>
      <c r="E15" s="198" t="s">
        <v>641</v>
      </c>
      <c r="F15" s="37" t="s">
        <v>199</v>
      </c>
      <c r="G15" s="26">
        <v>0.73529999999999995</v>
      </c>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v>18.5</v>
      </c>
      <c r="D16" s="24" t="s">
        <v>762</v>
      </c>
      <c r="E16" s="199" t="s">
        <v>388</v>
      </c>
      <c r="F16" s="37" t="s">
        <v>200</v>
      </c>
      <c r="G16" s="33">
        <v>60.9</v>
      </c>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675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339</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639</v>
      </c>
      <c r="C24" s="159">
        <f>IF(C25="","",C25)</f>
        <v>50264</v>
      </c>
      <c r="D24" s="160">
        <f>IF(D25="","",D25)</f>
        <v>7985.9440000000004</v>
      </c>
      <c r="E24" s="161">
        <f t="shared" ref="E24" si="5">IF(E25="","",E25)</f>
        <v>5770.2</v>
      </c>
      <c r="F24" s="160">
        <f>IF(F25="","",F25)</f>
        <v>5862.8</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640</v>
      </c>
      <c r="C25" s="156">
        <v>50264</v>
      </c>
      <c r="D25" s="157">
        <v>7985.9440000000004</v>
      </c>
      <c r="E25" s="158">
        <v>5770.2</v>
      </c>
      <c r="F25" s="157">
        <v>5862.8</v>
      </c>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f>IF(C25="","",C25)</f>
        <v>50264</v>
      </c>
      <c r="D26" s="160">
        <f t="shared" ref="D26" si="6">IF(D25="","",D25)</f>
        <v>7985.9440000000004</v>
      </c>
      <c r="E26" s="161">
        <f>IF(E25="","",E25)</f>
        <v>5770.2</v>
      </c>
      <c r="F26" s="160">
        <f>IF(F25="","",F25)</f>
        <v>5862.8</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6B</v>
      </c>
      <c r="D28" s="25"/>
      <c r="E28" s="25"/>
      <c r="F28" s="37" t="s">
        <v>199</v>
      </c>
      <c r="G28" s="99">
        <f>IF(G15="","",G15)</f>
        <v>0.73529999999999995</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v>17.5</v>
      </c>
      <c r="D29" s="35" t="str">
        <f>IF(D16="","",D16)</f>
        <v>°C</v>
      </c>
      <c r="E29" s="25"/>
      <c r="F29" s="37" t="s">
        <v>200</v>
      </c>
      <c r="G29" s="100">
        <f>IF(G16="","",G16)</f>
        <v>60.9</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°C</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636</v>
      </c>
      <c r="C35" s="133" t="s">
        <v>3</v>
      </c>
      <c r="D35" s="133" t="s">
        <v>198</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340</v>
      </c>
      <c r="C36" s="133">
        <f>IF(OR(C12="",C25=""),"",C25-C12)</f>
        <v>-3</v>
      </c>
      <c r="D36" s="133">
        <f>IF(OR(D12="",D25=""),"",D25-D12)</f>
        <v>-0.47699999999986176</v>
      </c>
      <c r="E36" s="133">
        <f>IF(OR(E12="",E25=""),"",E25-E12)</f>
        <v>-0.3000000000001819</v>
      </c>
      <c r="F36" s="133">
        <f>IF(OR(F12="",F25=""),"",F25-F12)</f>
        <v>-0.3000000000001819</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341</v>
      </c>
      <c r="C37" s="134">
        <f>IF(OR(C12="",C25=""),"",C36/C12*100)</f>
        <v>-5.9681301848130983E-3</v>
      </c>
      <c r="D37" s="134">
        <f t="shared" ref="D37" si="7">IF(OR(D12="",D25=""),"",D36/D12*100)</f>
        <v>-5.9726378060943911E-3</v>
      </c>
      <c r="E37" s="134">
        <f>IF(OR(E12="",E25=""),"",E36/E12*100)</f>
        <v>-5.198856251627795E-3</v>
      </c>
      <c r="F37" s="134">
        <f>IF(OR(F12="",F25=""),"",F36/F12*100)</f>
        <v>-5.1167471133049388E-3</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F7" activePane="bottomRight" state="frozen"/>
      <selection activeCell="H12" sqref="H12"/>
      <selection pane="topRight" activeCell="H12" sqref="H12"/>
      <selection pane="bottomLeft" activeCell="H12" sqref="H12"/>
      <selection pane="bottomRight" activeCell="G39" sqref="G39"/>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306</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t="s">
        <v>839</v>
      </c>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257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t="s">
        <v>772</v>
      </c>
      <c r="E7" s="126" t="s">
        <v>729</v>
      </c>
      <c r="F7" s="263"/>
      <c r="G7" s="20" t="s">
        <v>799</v>
      </c>
      <c r="H7" s="20"/>
      <c r="I7" s="262" t="s">
        <v>757</v>
      </c>
      <c r="J7" s="246" t="str">
        <f>IF($F$4="","",IF($C7="","",IF(AND($B7="",G7=""),"*",IF(AND($B7="v",NOT(G7="")),"*",IF(AND($B7="",NOT(G7="")),"",IF(AND($B7="v",G7=""),""))))))</f>
        <v/>
      </c>
      <c r="K7" s="7"/>
      <c r="L7" s="97"/>
      <c r="M7" s="257"/>
      <c r="N7" s="253"/>
      <c r="O7" s="246" t="str">
        <f>IF($M$4="","",IF(K$4="","",IF($C7="","",IF(AND($B7="",M7=""),"*",IF(AND($B7="v",NOT(M7="")),"*",IF(AND($B7="",NOT(M7="")),"",IF(AND($B7="v",M7=""),"")))))))</f>
        <v/>
      </c>
      <c r="P7" s="97"/>
      <c r="Q7" s="253"/>
      <c r="R7" s="253"/>
      <c r="S7" s="246" t="str">
        <f>IF($Q$4="","",IF(O$4="","",IF($C7="","",IF(AND($B7="",Q7=""),"*",IF(AND($B7="v",NOT(Q7="")),"*",IF(AND($B7="",NOT(Q7="")),"",IF(AND($B7="v",Q7=""),"")))))))</f>
        <v/>
      </c>
      <c r="T7" s="97"/>
      <c r="U7" s="253"/>
      <c r="V7" s="253"/>
      <c r="W7" s="246" t="str">
        <f>IF($U$4="","",IF(S$4="","",IF($C7="","",IF(AND($B7="",U7=""),"*",IF(AND($B7="v",NOT(U7="")),"*",IF(AND($B7="",NOT(U7="")),"",IF(AND($B7="v",U7=""),"")))))))</f>
        <v/>
      </c>
      <c r="X7" s="97"/>
      <c r="Y7" s="23"/>
      <c r="Z7" s="23"/>
      <c r="AA7" s="246" t="str">
        <f>IF($Y$4="","",IF(W$4="","",IF($C7="","",IF(AND($B7="",Y7=""),"*",IF(AND($B7="v",NOT(Y7="")),"*",IF(AND($B7="",NOT(Y7="")),"",IF(AND($B7="v",Y7=""),"")))))))</f>
        <v/>
      </c>
      <c r="AB7" s="97"/>
      <c r="AC7" s="253"/>
      <c r="AD7" s="253"/>
      <c r="AE7" s="246" t="str">
        <f>IF($AC$4="","",IF(AA$4="","",IF($C7="","",IF(AND($B7="",AC7=""),"*",IF(AND($B7="v",NOT(AC7="")),"*",IF(AND($B7="",NOT(AC7="")),"",IF(AND($B7="v",AC7=""),"")))))))</f>
        <v/>
      </c>
      <c r="AF7" s="97"/>
      <c r="AG7" s="253"/>
      <c r="AH7" s="253"/>
      <c r="AI7" s="246" t="str">
        <f>IF($AG$4="","",IF(AE$4="","",IF($C7="","",IF(AND($B7="",AG7=""),"*",IF(AND($B7="v",NOT(AG7="")),"*",IF(AND($B7="",NOT(AG7="")),"",IF(AND($B7="v",AG7=""),"")))))))</f>
        <v/>
      </c>
      <c r="AJ7" s="97"/>
      <c r="AK7" s="253"/>
      <c r="AL7" s="253"/>
      <c r="AM7" s="246" t="str">
        <f>IF($AK$4="","",IF(AI$4="","",IF($C7="","",IF(AND($B7="",AK7=""),"*",IF(AND($B7="v",NOT(AK7="")),"*",IF(AND($B7="",NOT(AK7="")),"",IF(AND($B7="v",AK7=""),"")))))))</f>
        <v/>
      </c>
      <c r="AN7" s="97"/>
      <c r="AO7" s="253"/>
      <c r="AP7" s="253"/>
      <c r="AQ7" s="246" t="str">
        <f>IF($AO$4="","",IF(AM$4="","",IF($C7="","",IF(AND($B7="",AO7=""),"*",IF(AND($B7="v",NOT(AO7="")),"*",IF(AND($B7="",NOT(AO7="")),"",IF(AND($B7="v",AO7=""),"")))))))</f>
        <v/>
      </c>
      <c r="AR7" s="97"/>
      <c r="AS7" s="253"/>
      <c r="AT7" s="253"/>
      <c r="AU7" s="246" t="str">
        <f>IF($AS$4="","",IF(AQ$4="","",IF($C7="","",IF(AND($B7="",AS7=""),"*",IF(AND($B7="v",NOT(AS7="")),"*",IF(AND($B7="",NOT(AS7="")),"",IF(AND($B7="v",AS7=""),"")))))))</f>
        <v/>
      </c>
      <c r="AV7" s="97"/>
      <c r="AW7" s="253"/>
      <c r="AX7" s="253"/>
      <c r="AY7" s="246" t="str">
        <f>IF($AW$4="","",IF(AU$4="","",IF($C7="","",IF(AND($B7="",AW7=""),"*",IF(AND($B7="v",NOT(AW7="")),"*",IF(AND($B7="",NOT(AW7="")),"",IF(AND($B7="v",AW7=""),"")))))))</f>
        <v/>
      </c>
      <c r="AZ7" s="97"/>
      <c r="BA7" s="253"/>
      <c r="BB7" s="253"/>
      <c r="BC7" s="246" t="str">
        <f>IF($BA$4="","",IF(AY$4="","",IF($C7="","",IF(AND($B7="",BA7=""),"*",IF(AND($B7="v",NOT(BA7="")),"*",IF(AND($B7="",NOT(BA7="")),"",IF(AND($B7="v",BA7=""),"")))))))</f>
        <v/>
      </c>
      <c r="BD7" s="97"/>
      <c r="BE7" s="253"/>
      <c r="BF7" s="253"/>
      <c r="BG7" s="246" t="str">
        <f>IF($BE$4="","",IF(BC$4="","",IF($C7="","",IF(AND($B7="",BE7=""),"*",IF(AND($B7="v",NOT(BE7="")),"*",IF(AND($B7="",NOT(BE7="")),"",IF(AND($B7="v",BE7=""),"")))))))</f>
        <v/>
      </c>
      <c r="BH7" s="97"/>
      <c r="BI7" s="253"/>
      <c r="BJ7" s="253"/>
      <c r="BK7" s="246" t="str">
        <f>IF($BI$4="","",IF(BG$4="","",IF($C7="","",IF(AND($B7="",BI7=""),"*",IF(AND($B7="v",NOT(BI7="")),"*",IF(AND($B7="",NOT(BI7="")),"",IF(AND($B7="v",BI7=""),"")))))))</f>
        <v/>
      </c>
      <c r="BL7" s="97"/>
      <c r="BM7" s="253"/>
      <c r="BN7" s="253"/>
      <c r="BO7" s="246" t="str">
        <f>IF($BM$4="","",IF(BK$4="","",IF($C7="","",IF(AND($B7="",BM7=""),"*",IF(AND($B7="v",NOT(BM7="")),"*",IF(AND($B7="",NOT(BM7="")),"",IF(AND($B7="v",BM7=""),"")))))))</f>
        <v/>
      </c>
      <c r="BP7" s="97"/>
      <c r="BQ7" s="253"/>
      <c r="BR7" s="253"/>
      <c r="BS7" s="246" t="str">
        <f>IF($BQ$4="","",IF(BO$4="","",IF($C7="","",IF(AND($B7="",BQ7=""),"*",IF(AND($B7="v",NOT(BQ7="")),"*",IF(AND($B7="",NOT(BQ7="")),"",IF(AND($B7="v",BQ7=""),"")))))))</f>
        <v/>
      </c>
      <c r="BT7" s="97"/>
      <c r="BU7" s="253"/>
      <c r="BV7" s="253"/>
      <c r="BW7" s="246" t="str">
        <f>IF($BU$4="","",IF(BS$4="","",IF($C7="","",IF(AND($B7="",BU7=""),"*",IF(AND($B7="v",NOT(BU7="")),"*",IF(AND($B7="",NOT(BU7="")),"",IF(AND($B7="v",BU7=""),"")))))))</f>
        <v/>
      </c>
    </row>
    <row r="8" spans="1:75">
      <c r="A8" s="88">
        <v>2</v>
      </c>
      <c r="B8" s="50"/>
      <c r="C8" s="62" t="s">
        <v>691</v>
      </c>
      <c r="D8" s="260" t="s">
        <v>773</v>
      </c>
      <c r="E8" s="126" t="s">
        <v>729</v>
      </c>
      <c r="F8" s="263"/>
      <c r="G8" s="20" t="s">
        <v>799</v>
      </c>
      <c r="H8" s="20"/>
      <c r="I8" s="262" t="s">
        <v>758</v>
      </c>
      <c r="J8" s="246" t="str">
        <f t="shared" ref="J8:J71" si="0">IF($F$4="","",IF($C8="","",IF(AND($B8="",G8=""),"*",IF(AND($B8="v",NOT(G8="")),"*",IF(AND($B8="",NOT(G8="")),"",IF(AND($B8="v",G8=""),""))))))</f>
        <v/>
      </c>
      <c r="K8" s="7"/>
      <c r="L8" s="97"/>
      <c r="M8" s="257"/>
      <c r="N8" s="253"/>
      <c r="O8" s="246" t="str">
        <f t="shared" ref="O8:O71" si="1">IF($M$4="","",IF(K$4="","",IF($C8="","",IF(AND($B8="",M8=""),"*",IF(AND($B8="v",NOT(M8="")),"*",IF(AND($B8="",NOT(M8="")),"",IF(AND($B8="v",M8=""),"")))))))</f>
        <v/>
      </c>
      <c r="P8" s="97"/>
      <c r="Q8" s="253"/>
      <c r="R8" s="253"/>
      <c r="S8" s="246" t="str">
        <f t="shared" ref="S8:S71" si="2">IF($Q$4="","",IF(O$4="","",IF($C8="","",IF(AND($B8="",Q8=""),"*",IF(AND($B8="v",NOT(Q8="")),"*",IF(AND($B8="",NOT(Q8="")),"",IF(AND($B8="v",Q8=""),"")))))))</f>
        <v/>
      </c>
      <c r="T8" s="97"/>
      <c r="U8" s="253"/>
      <c r="V8" s="253"/>
      <c r="W8" s="246" t="str">
        <f t="shared" ref="W8:W71" si="3">IF($U$4="","",IF(S$4="","",IF($C8="","",IF(AND($B8="",U8=""),"*",IF(AND($B8="v",NOT(U8="")),"*",IF(AND($B8="",NOT(U8="")),"",IF(AND($B8="v",U8=""),"")))))))</f>
        <v/>
      </c>
      <c r="X8" s="97"/>
      <c r="Y8" s="23"/>
      <c r="Z8" s="23"/>
      <c r="AA8" s="246" t="str">
        <f t="shared" ref="AA8:AA71" si="4">IF($Y$4="","",IF(W$4="","",IF($C8="","",IF(AND($B8="",Y8=""),"*",IF(AND($B8="v",NOT(Y8="")),"*",IF(AND($B8="",NOT(Y8="")),"",IF(AND($B8="v",Y8=""),"")))))))</f>
        <v/>
      </c>
      <c r="AB8" s="97"/>
      <c r="AC8" s="253"/>
      <c r="AD8" s="253"/>
      <c r="AE8" s="246" t="str">
        <f t="shared" ref="AE8:AE71" si="5">IF($AC$4="","",IF(AA$4="","",IF($C8="","",IF(AND($B8="",AC8=""),"*",IF(AND($B8="v",NOT(AC8="")),"*",IF(AND($B8="",NOT(AC8="")),"",IF(AND($B8="v",AC8=""),"")))))))</f>
        <v/>
      </c>
      <c r="AF8" s="97"/>
      <c r="AG8" s="253"/>
      <c r="AH8" s="253"/>
      <c r="AI8" s="246" t="str">
        <f t="shared" ref="AI8:AI71" si="6">IF($AG$4="","",IF(AE$4="","",IF($C8="","",IF(AND($B8="",AG8=""),"*",IF(AND($B8="v",NOT(AG8="")),"*",IF(AND($B8="",NOT(AG8="")),"",IF(AND($B8="v",AG8=""),"")))))))</f>
        <v/>
      </c>
      <c r="AJ8" s="97"/>
      <c r="AK8" s="253"/>
      <c r="AL8" s="253"/>
      <c r="AM8" s="246" t="str">
        <f t="shared" ref="AM8:AM71" si="7">IF($AK$4="","",IF(AI$4="","",IF($C8="","",IF(AND($B8="",AK8=""),"*",IF(AND($B8="v",NOT(AK8="")),"*",IF(AND($B8="",NOT(AK8="")),"",IF(AND($B8="v",AK8=""),"")))))))</f>
        <v/>
      </c>
      <c r="AN8" s="97"/>
      <c r="AO8" s="253"/>
      <c r="AP8" s="253"/>
      <c r="AQ8" s="246" t="str">
        <f t="shared" ref="AQ8:AQ71" si="8">IF($AO$4="","",IF(AM$4="","",IF($C8="","",IF(AND($B8="",AO8=""),"*",IF(AND($B8="v",NOT(AO8="")),"*",IF(AND($B8="",NOT(AO8="")),"",IF(AND($B8="v",AO8=""),"")))))))</f>
        <v/>
      </c>
      <c r="AR8" s="97"/>
      <c r="AS8" s="253"/>
      <c r="AT8" s="253"/>
      <c r="AU8" s="246" t="str">
        <f t="shared" ref="AU8:AU71" si="9">IF($AS$4="","",IF(AQ$4="","",IF($C8="","",IF(AND($B8="",AS8=""),"*",IF(AND($B8="v",NOT(AS8="")),"*",IF(AND($B8="",NOT(AS8="")),"",IF(AND($B8="v",AS8=""),"")))))))</f>
        <v/>
      </c>
      <c r="AV8" s="97"/>
      <c r="AW8" s="253"/>
      <c r="AX8" s="253"/>
      <c r="AY8" s="246" t="str">
        <f t="shared" ref="AY8:AY71" si="10">IF($AW$4="","",IF(AU$4="","",IF($C8="","",IF(AND($B8="",AW8=""),"*",IF(AND($B8="v",NOT(AW8="")),"*",IF(AND($B8="",NOT(AW8="")),"",IF(AND($B8="v",AW8=""),"")))))))</f>
        <v/>
      </c>
      <c r="AZ8" s="97"/>
      <c r="BA8" s="253"/>
      <c r="BB8" s="253"/>
      <c r="BC8" s="246" t="str">
        <f t="shared" ref="BC8:BC71" si="11">IF($BA$4="","",IF(AY$4="","",IF($C8="","",IF(AND($B8="",BA8=""),"*",IF(AND($B8="v",NOT(BA8="")),"*",IF(AND($B8="",NOT(BA8="")),"",IF(AND($B8="v",BA8=""),"")))))))</f>
        <v/>
      </c>
      <c r="BD8" s="97"/>
      <c r="BE8" s="253"/>
      <c r="BF8" s="253"/>
      <c r="BG8" s="246" t="str">
        <f t="shared" ref="BG8:BG71" si="12">IF($BE$4="","",IF(BC$4="","",IF($C8="","",IF(AND($B8="",BE8=""),"*",IF(AND($B8="v",NOT(BE8="")),"*",IF(AND($B8="",NOT(BE8="")),"",IF(AND($B8="v",BE8=""),"")))))))</f>
        <v/>
      </c>
      <c r="BH8" s="97"/>
      <c r="BI8" s="253"/>
      <c r="BJ8" s="253"/>
      <c r="BK8" s="246" t="str">
        <f t="shared" ref="BK8:BK71" si="13">IF($BI$4="","",IF(BG$4="","",IF($C8="","",IF(AND($B8="",BI8=""),"*",IF(AND($B8="v",NOT(BI8="")),"*",IF(AND($B8="",NOT(BI8="")),"",IF(AND($B8="v",BI8=""),"")))))))</f>
        <v/>
      </c>
      <c r="BL8" s="97"/>
      <c r="BM8" s="253"/>
      <c r="BN8" s="253"/>
      <c r="BO8" s="246" t="str">
        <f t="shared" ref="BO8:BO71" si="14">IF($BM$4="","",IF(BK$4="","",IF($C8="","",IF(AND($B8="",BM8=""),"*",IF(AND($B8="v",NOT(BM8="")),"*",IF(AND($B8="",NOT(BM8="")),"",IF(AND($B8="v",BM8=""),"")))))))</f>
        <v/>
      </c>
      <c r="BP8" s="97"/>
      <c r="BQ8" s="253"/>
      <c r="BR8" s="253"/>
      <c r="BS8" s="246" t="str">
        <f t="shared" ref="BS8:BS71" si="15">IF($BQ$4="","",IF(BO$4="","",IF($C8="","",IF(AND($B8="",BQ8=""),"*",IF(AND($B8="v",NOT(BQ8="")),"*",IF(AND($B8="",NOT(BQ8="")),"",IF(AND($B8="v",BQ8=""),"")))))))</f>
        <v/>
      </c>
      <c r="BT8" s="97"/>
      <c r="BU8" s="253"/>
      <c r="BV8" s="253"/>
      <c r="BW8" s="246" t="str">
        <f t="shared" ref="BW8:BW71" si="16">IF($BU$4="","",IF(BS$4="","",IF($C8="","",IF(AND($B8="",BU8=""),"*",IF(AND($B8="v",NOT(BU8="")),"*",IF(AND($B8="",NOT(BU8="")),"",IF(AND($B8="v",BU8=""),"")))))))</f>
        <v/>
      </c>
    </row>
    <row r="9" spans="1:75">
      <c r="A9" s="88">
        <v>3</v>
      </c>
      <c r="B9" s="50"/>
      <c r="C9" s="62" t="s">
        <v>692</v>
      </c>
      <c r="D9" s="260" t="s">
        <v>774</v>
      </c>
      <c r="E9" s="126" t="s">
        <v>730</v>
      </c>
      <c r="F9" s="261"/>
      <c r="G9" s="20" t="s">
        <v>800</v>
      </c>
      <c r="H9" s="20"/>
      <c r="I9" s="262" t="s">
        <v>759</v>
      </c>
      <c r="J9" s="246" t="str">
        <f t="shared" si="0"/>
        <v/>
      </c>
      <c r="K9" s="7"/>
      <c r="L9" s="97"/>
      <c r="M9" s="257"/>
      <c r="N9" s="253"/>
      <c r="O9" s="246" t="str">
        <f t="shared" si="1"/>
        <v/>
      </c>
      <c r="P9" s="97"/>
      <c r="Q9" s="253"/>
      <c r="R9" s="253"/>
      <c r="S9" s="246" t="str">
        <f t="shared" si="2"/>
        <v/>
      </c>
      <c r="T9" s="97"/>
      <c r="U9" s="253"/>
      <c r="V9" s="253"/>
      <c r="W9" s="246" t="str">
        <f t="shared" si="3"/>
        <v/>
      </c>
      <c r="X9" s="97"/>
      <c r="Y9" s="23"/>
      <c r="Z9" s="23"/>
      <c r="AA9" s="246" t="str">
        <f t="shared" si="4"/>
        <v/>
      </c>
      <c r="AB9" s="97"/>
      <c r="AC9" s="253"/>
      <c r="AD9" s="253"/>
      <c r="AE9" s="246" t="str">
        <f t="shared" si="5"/>
        <v/>
      </c>
      <c r="AF9" s="97"/>
      <c r="AG9" s="253"/>
      <c r="AH9" s="253"/>
      <c r="AI9" s="246" t="str">
        <f t="shared" si="6"/>
        <v/>
      </c>
      <c r="AJ9" s="97"/>
      <c r="AK9" s="253"/>
      <c r="AL9" s="253"/>
      <c r="AM9" s="246" t="str">
        <f t="shared" si="7"/>
        <v/>
      </c>
      <c r="AN9" s="97"/>
      <c r="AO9" s="253"/>
      <c r="AP9" s="253"/>
      <c r="AQ9" s="246" t="str">
        <f t="shared" si="8"/>
        <v/>
      </c>
      <c r="AR9" s="97"/>
      <c r="AS9" s="253"/>
      <c r="AT9" s="253"/>
      <c r="AU9" s="246" t="str">
        <f t="shared" si="9"/>
        <v/>
      </c>
      <c r="AV9" s="97"/>
      <c r="AW9" s="253"/>
      <c r="AX9" s="253"/>
      <c r="AY9" s="246" t="str">
        <f t="shared" si="10"/>
        <v/>
      </c>
      <c r="AZ9" s="97"/>
      <c r="BA9" s="253"/>
      <c r="BB9" s="253"/>
      <c r="BC9" s="246" t="str">
        <f t="shared" si="11"/>
        <v/>
      </c>
      <c r="BD9" s="97"/>
      <c r="BE9" s="253"/>
      <c r="BF9" s="253"/>
      <c r="BG9" s="246" t="str">
        <f t="shared" si="12"/>
        <v/>
      </c>
      <c r="BH9" s="97"/>
      <c r="BI9" s="253"/>
      <c r="BJ9" s="253"/>
      <c r="BK9" s="246" t="str">
        <f t="shared" si="13"/>
        <v/>
      </c>
      <c r="BL9" s="97"/>
      <c r="BM9" s="253"/>
      <c r="BN9" s="253"/>
      <c r="BO9" s="246" t="str">
        <f t="shared" si="14"/>
        <v/>
      </c>
      <c r="BP9" s="97"/>
      <c r="BQ9" s="253"/>
      <c r="BR9" s="253"/>
      <c r="BS9" s="246" t="str">
        <f t="shared" si="15"/>
        <v/>
      </c>
      <c r="BT9" s="97"/>
      <c r="BU9" s="253"/>
      <c r="BV9" s="253"/>
      <c r="BW9" s="246" t="str">
        <f t="shared" si="16"/>
        <v/>
      </c>
    </row>
    <row r="10" spans="1:75">
      <c r="A10" s="88">
        <v>4</v>
      </c>
      <c r="B10" s="50" t="s">
        <v>776</v>
      </c>
      <c r="C10" s="62" t="s">
        <v>692</v>
      </c>
      <c r="D10" s="260" t="s">
        <v>775</v>
      </c>
      <c r="E10" s="126" t="s">
        <v>731</v>
      </c>
      <c r="F10" s="261"/>
      <c r="G10" s="20"/>
      <c r="H10" s="20" t="s">
        <v>840</v>
      </c>
      <c r="I10" s="262" t="s">
        <v>759</v>
      </c>
      <c r="J10" s="246" t="str">
        <f t="shared" si="0"/>
        <v/>
      </c>
      <c r="K10" s="7"/>
      <c r="L10" s="97"/>
      <c r="M10" s="257"/>
      <c r="N10" s="253"/>
      <c r="O10" s="246" t="str">
        <f t="shared" si="1"/>
        <v/>
      </c>
      <c r="P10" s="97"/>
      <c r="Q10" s="253"/>
      <c r="R10" s="253"/>
      <c r="S10" s="246" t="str">
        <f t="shared" si="2"/>
        <v/>
      </c>
      <c r="T10" s="97"/>
      <c r="U10" s="253"/>
      <c r="V10" s="253"/>
      <c r="W10" s="246" t="str">
        <f t="shared" si="3"/>
        <v/>
      </c>
      <c r="X10" s="97"/>
      <c r="Y10" s="23"/>
      <c r="Z10" s="23"/>
      <c r="AA10" s="246" t="str">
        <f t="shared" si="4"/>
        <v/>
      </c>
      <c r="AB10" s="97"/>
      <c r="AC10" s="253"/>
      <c r="AD10" s="253"/>
      <c r="AE10" s="246" t="str">
        <f t="shared" si="5"/>
        <v/>
      </c>
      <c r="AF10" s="97"/>
      <c r="AG10" s="253"/>
      <c r="AH10" s="253"/>
      <c r="AI10" s="246" t="str">
        <f t="shared" si="6"/>
        <v/>
      </c>
      <c r="AJ10" s="97"/>
      <c r="AK10" s="253"/>
      <c r="AL10" s="253"/>
      <c r="AM10" s="246" t="str">
        <f t="shared" si="7"/>
        <v/>
      </c>
      <c r="AN10" s="97"/>
      <c r="AO10" s="253"/>
      <c r="AP10" s="253"/>
      <c r="AQ10" s="246" t="str">
        <f t="shared" si="8"/>
        <v/>
      </c>
      <c r="AR10" s="97"/>
      <c r="AS10" s="253"/>
      <c r="AT10" s="253"/>
      <c r="AU10" s="246" t="str">
        <f t="shared" si="9"/>
        <v/>
      </c>
      <c r="AV10" s="97"/>
      <c r="AW10" s="253"/>
      <c r="AX10" s="253"/>
      <c r="AY10" s="246" t="str">
        <f t="shared" si="10"/>
        <v/>
      </c>
      <c r="AZ10" s="97"/>
      <c r="BA10" s="253"/>
      <c r="BB10" s="253"/>
      <c r="BC10" s="246" t="str">
        <f t="shared" si="11"/>
        <v/>
      </c>
      <c r="BD10" s="97"/>
      <c r="BE10" s="253"/>
      <c r="BF10" s="253"/>
      <c r="BG10" s="246" t="str">
        <f t="shared" si="12"/>
        <v/>
      </c>
      <c r="BH10" s="97"/>
      <c r="BI10" s="253"/>
      <c r="BJ10" s="253"/>
      <c r="BK10" s="246" t="str">
        <f t="shared" si="13"/>
        <v/>
      </c>
      <c r="BL10" s="97"/>
      <c r="BM10" s="253"/>
      <c r="BN10" s="253"/>
      <c r="BO10" s="246" t="str">
        <f t="shared" si="14"/>
        <v/>
      </c>
      <c r="BP10" s="97"/>
      <c r="BQ10" s="253"/>
      <c r="BR10" s="253"/>
      <c r="BS10" s="246" t="str">
        <f t="shared" si="15"/>
        <v/>
      </c>
      <c r="BT10" s="97"/>
      <c r="BU10" s="253"/>
      <c r="BV10" s="253"/>
      <c r="BW10" s="246" t="str">
        <f t="shared" si="16"/>
        <v/>
      </c>
    </row>
    <row r="11" spans="1:75">
      <c r="A11" s="88">
        <v>5</v>
      </c>
      <c r="B11" s="50"/>
      <c r="C11" s="62" t="s">
        <v>693</v>
      </c>
      <c r="D11" s="260" t="s">
        <v>774</v>
      </c>
      <c r="E11" s="126" t="s">
        <v>732</v>
      </c>
      <c r="F11" s="261"/>
      <c r="G11" s="20" t="s">
        <v>801</v>
      </c>
      <c r="H11" s="20"/>
      <c r="I11" s="262" t="s">
        <v>759</v>
      </c>
      <c r="J11" s="246" t="str">
        <f t="shared" si="0"/>
        <v/>
      </c>
      <c r="K11" s="7"/>
      <c r="L11" s="97"/>
      <c r="M11" s="257"/>
      <c r="N11" s="253"/>
      <c r="O11" s="246" t="str">
        <f t="shared" si="1"/>
        <v/>
      </c>
      <c r="P11" s="97"/>
      <c r="Q11" s="253"/>
      <c r="R11" s="253"/>
      <c r="S11" s="246" t="str">
        <f t="shared" si="2"/>
        <v/>
      </c>
      <c r="T11" s="97"/>
      <c r="U11" s="253"/>
      <c r="V11" s="253"/>
      <c r="W11" s="246" t="str">
        <f t="shared" si="3"/>
        <v/>
      </c>
      <c r="X11" s="97"/>
      <c r="Y11" s="23"/>
      <c r="Z11" s="23"/>
      <c r="AA11" s="246" t="str">
        <f t="shared" si="4"/>
        <v/>
      </c>
      <c r="AB11" s="97"/>
      <c r="AC11" s="253"/>
      <c r="AD11" s="253"/>
      <c r="AE11" s="246" t="str">
        <f t="shared" si="5"/>
        <v/>
      </c>
      <c r="AF11" s="97"/>
      <c r="AG11" s="253"/>
      <c r="AH11" s="253"/>
      <c r="AI11" s="246" t="str">
        <f t="shared" si="6"/>
        <v/>
      </c>
      <c r="AJ11" s="97"/>
      <c r="AK11" s="253"/>
      <c r="AL11" s="253"/>
      <c r="AM11" s="246" t="str">
        <f t="shared" si="7"/>
        <v/>
      </c>
      <c r="AN11" s="97"/>
      <c r="AO11" s="253"/>
      <c r="AP11" s="253"/>
      <c r="AQ11" s="246" t="str">
        <f t="shared" si="8"/>
        <v/>
      </c>
      <c r="AR11" s="97"/>
      <c r="AS11" s="253"/>
      <c r="AT11" s="253"/>
      <c r="AU11" s="246" t="str">
        <f t="shared" si="9"/>
        <v/>
      </c>
      <c r="AV11" s="97"/>
      <c r="AW11" s="253"/>
      <c r="AX11" s="253"/>
      <c r="AY11" s="246" t="str">
        <f t="shared" si="10"/>
        <v/>
      </c>
      <c r="AZ11" s="97"/>
      <c r="BA11" s="253"/>
      <c r="BB11" s="253"/>
      <c r="BC11" s="246" t="str">
        <f t="shared" si="11"/>
        <v/>
      </c>
      <c r="BD11" s="97"/>
      <c r="BE11" s="253"/>
      <c r="BF11" s="253"/>
      <c r="BG11" s="246" t="str">
        <f t="shared" si="12"/>
        <v/>
      </c>
      <c r="BH11" s="97"/>
      <c r="BI11" s="253"/>
      <c r="BJ11" s="253"/>
      <c r="BK11" s="246" t="str">
        <f t="shared" si="13"/>
        <v/>
      </c>
      <c r="BL11" s="97"/>
      <c r="BM11" s="253"/>
      <c r="BN11" s="253"/>
      <c r="BO11" s="246" t="str">
        <f t="shared" si="14"/>
        <v/>
      </c>
      <c r="BP11" s="97"/>
      <c r="BQ11" s="253"/>
      <c r="BR11" s="253"/>
      <c r="BS11" s="246" t="str">
        <f t="shared" si="15"/>
        <v/>
      </c>
      <c r="BT11" s="97"/>
      <c r="BU11" s="253"/>
      <c r="BV11" s="253"/>
      <c r="BW11" s="246" t="str">
        <f t="shared" si="16"/>
        <v/>
      </c>
    </row>
    <row r="12" spans="1:75">
      <c r="A12" s="88">
        <v>6</v>
      </c>
      <c r="B12" s="50"/>
      <c r="C12" s="62" t="s">
        <v>694</v>
      </c>
      <c r="D12" s="260" t="s">
        <v>773</v>
      </c>
      <c r="E12" s="126" t="s">
        <v>729</v>
      </c>
      <c r="F12" s="263"/>
      <c r="G12" s="20" t="s">
        <v>802</v>
      </c>
      <c r="H12" s="20"/>
      <c r="I12" s="262" t="s">
        <v>758</v>
      </c>
      <c r="J12" s="246" t="str">
        <f t="shared" si="0"/>
        <v/>
      </c>
      <c r="K12" s="7"/>
      <c r="L12" s="97"/>
      <c r="M12" s="257"/>
      <c r="N12" s="253"/>
      <c r="O12" s="246" t="str">
        <f t="shared" si="1"/>
        <v/>
      </c>
      <c r="P12" s="97"/>
      <c r="Q12" s="253"/>
      <c r="R12" s="253"/>
      <c r="S12" s="246" t="str">
        <f>IF($Q$4="","",IF(O$4="","",IF($C12="","",IF(AND($B12="",Q12=""),"*",IF(AND($B12="v",NOT(Q12="")),"*",IF(AND($B12="",NOT(Q12="")),"",IF(AND($B12="v",Q12=""),"")))))))</f>
        <v/>
      </c>
      <c r="T12" s="97"/>
      <c r="U12" s="253"/>
      <c r="V12" s="253"/>
      <c r="W12" s="246" t="str">
        <f t="shared" si="3"/>
        <v/>
      </c>
      <c r="X12" s="97"/>
      <c r="Y12" s="23"/>
      <c r="Z12" s="23"/>
      <c r="AA12" s="246" t="str">
        <f t="shared" si="4"/>
        <v/>
      </c>
      <c r="AB12" s="97"/>
      <c r="AC12" s="253"/>
      <c r="AD12" s="253"/>
      <c r="AE12" s="246" t="str">
        <f t="shared" si="5"/>
        <v/>
      </c>
      <c r="AF12" s="97"/>
      <c r="AG12" s="253"/>
      <c r="AH12" s="253"/>
      <c r="AI12" s="246" t="str">
        <f t="shared" si="6"/>
        <v/>
      </c>
      <c r="AJ12" s="97"/>
      <c r="AK12" s="253"/>
      <c r="AL12" s="253"/>
      <c r="AM12" s="246" t="str">
        <f t="shared" si="7"/>
        <v/>
      </c>
      <c r="AN12" s="97"/>
      <c r="AO12" s="253"/>
      <c r="AP12" s="253"/>
      <c r="AQ12" s="246" t="str">
        <f t="shared" si="8"/>
        <v/>
      </c>
      <c r="AR12" s="97"/>
      <c r="AS12" s="253"/>
      <c r="AT12" s="253"/>
      <c r="AU12" s="246" t="str">
        <f t="shared" si="9"/>
        <v/>
      </c>
      <c r="AV12" s="97"/>
      <c r="AW12" s="253"/>
      <c r="AX12" s="253"/>
      <c r="AY12" s="246" t="str">
        <f t="shared" si="10"/>
        <v/>
      </c>
      <c r="AZ12" s="97"/>
      <c r="BA12" s="253"/>
      <c r="BB12" s="253"/>
      <c r="BC12" s="246" t="str">
        <f t="shared" si="11"/>
        <v/>
      </c>
      <c r="BD12" s="97"/>
      <c r="BE12" s="253"/>
      <c r="BF12" s="253"/>
      <c r="BG12" s="246" t="str">
        <f t="shared" si="12"/>
        <v/>
      </c>
      <c r="BH12" s="97"/>
      <c r="BI12" s="253"/>
      <c r="BJ12" s="253"/>
      <c r="BK12" s="246" t="str">
        <f t="shared" si="13"/>
        <v/>
      </c>
      <c r="BL12" s="97"/>
      <c r="BM12" s="253"/>
      <c r="BN12" s="253"/>
      <c r="BO12" s="246" t="str">
        <f t="shared" si="14"/>
        <v/>
      </c>
      <c r="BP12" s="97"/>
      <c r="BQ12" s="253"/>
      <c r="BR12" s="253"/>
      <c r="BS12" s="246" t="str">
        <f t="shared" si="15"/>
        <v/>
      </c>
      <c r="BT12" s="97"/>
      <c r="BU12" s="253"/>
      <c r="BV12" s="253"/>
      <c r="BW12" s="246" t="str">
        <f t="shared" si="16"/>
        <v/>
      </c>
    </row>
    <row r="13" spans="1:75">
      <c r="A13" s="88">
        <v>7</v>
      </c>
      <c r="B13" s="50"/>
      <c r="C13" s="62" t="s">
        <v>695</v>
      </c>
      <c r="D13" s="260" t="s">
        <v>777</v>
      </c>
      <c r="E13" s="126" t="s">
        <v>733</v>
      </c>
      <c r="F13" s="261"/>
      <c r="G13" s="20" t="s">
        <v>803</v>
      </c>
      <c r="H13" s="20" t="s">
        <v>804</v>
      </c>
      <c r="I13" s="19" t="s">
        <v>760</v>
      </c>
      <c r="J13" s="246" t="str">
        <f t="shared" si="0"/>
        <v/>
      </c>
      <c r="K13" s="7"/>
      <c r="L13" s="97"/>
      <c r="M13" s="257"/>
      <c r="N13" s="253"/>
      <c r="O13" s="246" t="str">
        <f t="shared" si="1"/>
        <v/>
      </c>
      <c r="P13" s="97"/>
      <c r="Q13" s="253"/>
      <c r="R13" s="253"/>
      <c r="S13" s="246" t="str">
        <f t="shared" si="2"/>
        <v/>
      </c>
      <c r="T13" s="97"/>
      <c r="U13" s="253"/>
      <c r="V13" s="253"/>
      <c r="W13" s="246" t="str">
        <f t="shared" si="3"/>
        <v/>
      </c>
      <c r="X13" s="97"/>
      <c r="Y13" s="23"/>
      <c r="Z13" s="23"/>
      <c r="AA13" s="246" t="str">
        <f t="shared" si="4"/>
        <v/>
      </c>
      <c r="AB13" s="97"/>
      <c r="AC13" s="253"/>
      <c r="AD13" s="253"/>
      <c r="AE13" s="246" t="str">
        <f t="shared" si="5"/>
        <v/>
      </c>
      <c r="AF13" s="97"/>
      <c r="AG13" s="253"/>
      <c r="AH13" s="253"/>
      <c r="AI13" s="246" t="str">
        <f t="shared" si="6"/>
        <v/>
      </c>
      <c r="AJ13" s="97"/>
      <c r="AK13" s="253"/>
      <c r="AL13" s="253"/>
      <c r="AM13" s="246" t="str">
        <f t="shared" si="7"/>
        <v/>
      </c>
      <c r="AN13" s="97"/>
      <c r="AO13" s="253"/>
      <c r="AP13" s="253"/>
      <c r="AQ13" s="246" t="str">
        <f t="shared" si="8"/>
        <v/>
      </c>
      <c r="AR13" s="97"/>
      <c r="AS13" s="253"/>
      <c r="AT13" s="253"/>
      <c r="AU13" s="246" t="str">
        <f t="shared" si="9"/>
        <v/>
      </c>
      <c r="AV13" s="97"/>
      <c r="AW13" s="253"/>
      <c r="AX13" s="253"/>
      <c r="AY13" s="246" t="str">
        <f t="shared" si="10"/>
        <v/>
      </c>
      <c r="AZ13" s="97"/>
      <c r="BA13" s="253"/>
      <c r="BB13" s="253"/>
      <c r="BC13" s="246" t="str">
        <f t="shared" si="11"/>
        <v/>
      </c>
      <c r="BD13" s="97"/>
      <c r="BE13" s="253"/>
      <c r="BF13" s="253"/>
      <c r="BG13" s="246" t="str">
        <f t="shared" si="12"/>
        <v/>
      </c>
      <c r="BH13" s="97"/>
      <c r="BI13" s="253"/>
      <c r="BJ13" s="253"/>
      <c r="BK13" s="246" t="str">
        <f t="shared" si="13"/>
        <v/>
      </c>
      <c r="BL13" s="97"/>
      <c r="BM13" s="253"/>
      <c r="BN13" s="253"/>
      <c r="BO13" s="246" t="str">
        <f t="shared" si="14"/>
        <v/>
      </c>
      <c r="BP13" s="97"/>
      <c r="BQ13" s="253"/>
      <c r="BR13" s="253"/>
      <c r="BS13" s="246" t="str">
        <f t="shared" si="15"/>
        <v/>
      </c>
      <c r="BT13" s="97"/>
      <c r="BU13" s="253"/>
      <c r="BV13" s="253"/>
      <c r="BW13" s="246" t="str">
        <f t="shared" si="16"/>
        <v/>
      </c>
    </row>
    <row r="14" spans="1:75">
      <c r="A14" s="88">
        <v>8</v>
      </c>
      <c r="B14" s="50"/>
      <c r="C14" s="62" t="s">
        <v>696</v>
      </c>
      <c r="D14" s="260" t="s">
        <v>778</v>
      </c>
      <c r="E14" s="126" t="s">
        <v>734</v>
      </c>
      <c r="F14" s="261"/>
      <c r="G14" s="20" t="s">
        <v>805</v>
      </c>
      <c r="H14" s="20"/>
      <c r="I14" s="262" t="s">
        <v>761</v>
      </c>
      <c r="J14" s="246" t="str">
        <f t="shared" si="0"/>
        <v/>
      </c>
      <c r="K14" s="7"/>
      <c r="L14" s="97"/>
      <c r="M14" s="257"/>
      <c r="N14" s="253"/>
      <c r="O14" s="246" t="str">
        <f t="shared" si="1"/>
        <v/>
      </c>
      <c r="P14" s="97"/>
      <c r="Q14" s="253"/>
      <c r="R14" s="253"/>
      <c r="S14" s="246" t="str">
        <f t="shared" si="2"/>
        <v/>
      </c>
      <c r="T14" s="97"/>
      <c r="U14" s="253"/>
      <c r="V14" s="253"/>
      <c r="W14" s="246" t="str">
        <f t="shared" si="3"/>
        <v/>
      </c>
      <c r="X14" s="97"/>
      <c r="Y14" s="23"/>
      <c r="Z14" s="23"/>
      <c r="AA14" s="246" t="str">
        <f t="shared" si="4"/>
        <v/>
      </c>
      <c r="AB14" s="97"/>
      <c r="AC14" s="253"/>
      <c r="AD14" s="253"/>
      <c r="AE14" s="246" t="str">
        <f t="shared" si="5"/>
        <v/>
      </c>
      <c r="AF14" s="97"/>
      <c r="AG14" s="253"/>
      <c r="AH14" s="253"/>
      <c r="AI14" s="246" t="str">
        <f t="shared" si="6"/>
        <v/>
      </c>
      <c r="AJ14" s="97"/>
      <c r="AK14" s="253"/>
      <c r="AL14" s="253"/>
      <c r="AM14" s="246" t="str">
        <f t="shared" si="7"/>
        <v/>
      </c>
      <c r="AN14" s="97"/>
      <c r="AO14" s="253"/>
      <c r="AP14" s="253"/>
      <c r="AQ14" s="246" t="str">
        <f t="shared" si="8"/>
        <v/>
      </c>
      <c r="AR14" s="97"/>
      <c r="AS14" s="253"/>
      <c r="AT14" s="253"/>
      <c r="AU14" s="246" t="str">
        <f t="shared" si="9"/>
        <v/>
      </c>
      <c r="AV14" s="97"/>
      <c r="AW14" s="253"/>
      <c r="AX14" s="253"/>
      <c r="AY14" s="246" t="str">
        <f t="shared" si="10"/>
        <v/>
      </c>
      <c r="AZ14" s="97"/>
      <c r="BA14" s="253"/>
      <c r="BB14" s="253"/>
      <c r="BC14" s="246" t="str">
        <f t="shared" si="11"/>
        <v/>
      </c>
      <c r="BD14" s="97"/>
      <c r="BE14" s="253"/>
      <c r="BF14" s="253"/>
      <c r="BG14" s="246" t="str">
        <f t="shared" si="12"/>
        <v/>
      </c>
      <c r="BH14" s="97"/>
      <c r="BI14" s="253"/>
      <c r="BJ14" s="253"/>
      <c r="BK14" s="246" t="str">
        <f t="shared" si="13"/>
        <v/>
      </c>
      <c r="BL14" s="97"/>
      <c r="BM14" s="253"/>
      <c r="BN14" s="253"/>
      <c r="BO14" s="246" t="str">
        <f t="shared" si="14"/>
        <v/>
      </c>
      <c r="BP14" s="97"/>
      <c r="BQ14" s="253"/>
      <c r="BR14" s="253"/>
      <c r="BS14" s="246" t="str">
        <f t="shared" si="15"/>
        <v/>
      </c>
      <c r="BT14" s="97"/>
      <c r="BU14" s="253"/>
      <c r="BV14" s="253"/>
      <c r="BW14" s="246" t="str">
        <f t="shared" si="16"/>
        <v/>
      </c>
    </row>
    <row r="15" spans="1:75">
      <c r="A15" s="88">
        <v>9</v>
      </c>
      <c r="B15" s="50"/>
      <c r="C15" s="62" t="s">
        <v>697</v>
      </c>
      <c r="D15" s="260" t="s">
        <v>779</v>
      </c>
      <c r="E15" s="126" t="s">
        <v>734</v>
      </c>
      <c r="F15" s="261"/>
      <c r="G15" s="20" t="s">
        <v>806</v>
      </c>
      <c r="H15" s="20"/>
      <c r="I15" s="262" t="s">
        <v>759</v>
      </c>
      <c r="J15" s="246" t="str">
        <f t="shared" si="0"/>
        <v/>
      </c>
      <c r="K15" s="7"/>
      <c r="L15" s="97"/>
      <c r="M15" s="257"/>
      <c r="N15" s="253"/>
      <c r="O15" s="246" t="str">
        <f t="shared" si="1"/>
        <v/>
      </c>
      <c r="P15" s="97"/>
      <c r="Q15" s="253"/>
      <c r="R15" s="253"/>
      <c r="S15" s="246" t="str">
        <f t="shared" si="2"/>
        <v/>
      </c>
      <c r="T15" s="97"/>
      <c r="U15" s="253"/>
      <c r="V15" s="253"/>
      <c r="W15" s="246" t="str">
        <f t="shared" si="3"/>
        <v/>
      </c>
      <c r="X15" s="97"/>
      <c r="Y15" s="23"/>
      <c r="Z15" s="23"/>
      <c r="AA15" s="246" t="str">
        <f t="shared" si="4"/>
        <v/>
      </c>
      <c r="AB15" s="97"/>
      <c r="AC15" s="253"/>
      <c r="AD15" s="253"/>
      <c r="AE15" s="246" t="str">
        <f t="shared" si="5"/>
        <v/>
      </c>
      <c r="AF15" s="97"/>
      <c r="AG15" s="253"/>
      <c r="AH15" s="253"/>
      <c r="AI15" s="246" t="str">
        <f t="shared" si="6"/>
        <v/>
      </c>
      <c r="AJ15" s="97"/>
      <c r="AK15" s="253"/>
      <c r="AL15" s="253"/>
      <c r="AM15" s="246" t="str">
        <f t="shared" si="7"/>
        <v/>
      </c>
      <c r="AN15" s="97"/>
      <c r="AO15" s="253"/>
      <c r="AP15" s="253"/>
      <c r="AQ15" s="246" t="str">
        <f t="shared" si="8"/>
        <v/>
      </c>
      <c r="AR15" s="97"/>
      <c r="AS15" s="253"/>
      <c r="AT15" s="253"/>
      <c r="AU15" s="246" t="str">
        <f t="shared" si="9"/>
        <v/>
      </c>
      <c r="AV15" s="97"/>
      <c r="AW15" s="253"/>
      <c r="AX15" s="253"/>
      <c r="AY15" s="246" t="str">
        <f t="shared" si="10"/>
        <v/>
      </c>
      <c r="AZ15" s="97"/>
      <c r="BA15" s="253"/>
      <c r="BB15" s="253"/>
      <c r="BC15" s="246" t="str">
        <f t="shared" si="11"/>
        <v/>
      </c>
      <c r="BD15" s="97"/>
      <c r="BE15" s="253"/>
      <c r="BF15" s="253"/>
      <c r="BG15" s="246" t="str">
        <f t="shared" si="12"/>
        <v/>
      </c>
      <c r="BH15" s="97"/>
      <c r="BI15" s="253"/>
      <c r="BJ15" s="253"/>
      <c r="BK15" s="246" t="str">
        <f t="shared" si="13"/>
        <v/>
      </c>
      <c r="BL15" s="97"/>
      <c r="BM15" s="253"/>
      <c r="BN15" s="253"/>
      <c r="BO15" s="246" t="str">
        <f t="shared" si="14"/>
        <v/>
      </c>
      <c r="BP15" s="97"/>
      <c r="BQ15" s="253"/>
      <c r="BR15" s="253"/>
      <c r="BS15" s="246" t="str">
        <f t="shared" si="15"/>
        <v/>
      </c>
      <c r="BT15" s="97"/>
      <c r="BU15" s="253"/>
      <c r="BV15" s="253"/>
      <c r="BW15" s="246" t="str">
        <f t="shared" si="16"/>
        <v/>
      </c>
    </row>
    <row r="16" spans="1:75">
      <c r="A16" s="88">
        <v>10</v>
      </c>
      <c r="B16" s="50"/>
      <c r="C16" s="62" t="s">
        <v>698</v>
      </c>
      <c r="D16" s="260" t="s">
        <v>779</v>
      </c>
      <c r="E16" s="126" t="s">
        <v>735</v>
      </c>
      <c r="F16" s="261"/>
      <c r="G16" s="20" t="s">
        <v>807</v>
      </c>
      <c r="H16" s="20"/>
      <c r="I16" s="262" t="s">
        <v>762</v>
      </c>
      <c r="J16" s="246" t="str">
        <f t="shared" si="0"/>
        <v/>
      </c>
      <c r="K16" s="7"/>
      <c r="L16" s="97"/>
      <c r="M16" s="257"/>
      <c r="N16" s="253"/>
      <c r="O16" s="246" t="str">
        <f t="shared" si="1"/>
        <v/>
      </c>
      <c r="P16" s="97"/>
      <c r="Q16" s="253"/>
      <c r="R16" s="253"/>
      <c r="S16" s="246" t="str">
        <f t="shared" si="2"/>
        <v/>
      </c>
      <c r="T16" s="97"/>
      <c r="U16" s="253"/>
      <c r="V16" s="253"/>
      <c r="W16" s="246" t="str">
        <f t="shared" si="3"/>
        <v/>
      </c>
      <c r="X16" s="97"/>
      <c r="Y16" s="23"/>
      <c r="Z16" s="23"/>
      <c r="AA16" s="246" t="str">
        <f t="shared" si="4"/>
        <v/>
      </c>
      <c r="AB16" s="97"/>
      <c r="AC16" s="253"/>
      <c r="AD16" s="253"/>
      <c r="AE16" s="246" t="str">
        <f t="shared" si="5"/>
        <v/>
      </c>
      <c r="AF16" s="97"/>
      <c r="AG16" s="253"/>
      <c r="AH16" s="253"/>
      <c r="AI16" s="246" t="str">
        <f t="shared" si="6"/>
        <v/>
      </c>
      <c r="AJ16" s="97"/>
      <c r="AK16" s="253"/>
      <c r="AL16" s="253"/>
      <c r="AM16" s="246" t="str">
        <f t="shared" si="7"/>
        <v/>
      </c>
      <c r="AN16" s="97"/>
      <c r="AO16" s="253"/>
      <c r="AP16" s="253"/>
      <c r="AQ16" s="246" t="str">
        <f t="shared" si="8"/>
        <v/>
      </c>
      <c r="AR16" s="97"/>
      <c r="AS16" s="253"/>
      <c r="AT16" s="253"/>
      <c r="AU16" s="246" t="str">
        <f t="shared" si="9"/>
        <v/>
      </c>
      <c r="AV16" s="97"/>
      <c r="AW16" s="253"/>
      <c r="AX16" s="253"/>
      <c r="AY16" s="246" t="str">
        <f t="shared" si="10"/>
        <v/>
      </c>
      <c r="AZ16" s="97"/>
      <c r="BA16" s="253"/>
      <c r="BB16" s="253"/>
      <c r="BC16" s="246" t="str">
        <f t="shared" si="11"/>
        <v/>
      </c>
      <c r="BD16" s="97"/>
      <c r="BE16" s="253"/>
      <c r="BF16" s="253"/>
      <c r="BG16" s="246" t="str">
        <f t="shared" si="12"/>
        <v/>
      </c>
      <c r="BH16" s="97"/>
      <c r="BI16" s="253"/>
      <c r="BJ16" s="253"/>
      <c r="BK16" s="246" t="str">
        <f t="shared" si="13"/>
        <v/>
      </c>
      <c r="BL16" s="97"/>
      <c r="BM16" s="253"/>
      <c r="BN16" s="253"/>
      <c r="BO16" s="246" t="str">
        <f t="shared" si="14"/>
        <v/>
      </c>
      <c r="BP16" s="97"/>
      <c r="BQ16" s="253"/>
      <c r="BR16" s="253"/>
      <c r="BS16" s="246" t="str">
        <f t="shared" si="15"/>
        <v/>
      </c>
      <c r="BT16" s="97"/>
      <c r="BU16" s="253"/>
      <c r="BV16" s="253"/>
      <c r="BW16" s="246" t="str">
        <f t="shared" si="16"/>
        <v/>
      </c>
    </row>
    <row r="17" spans="1:75">
      <c r="A17" s="88">
        <v>11</v>
      </c>
      <c r="B17" s="50"/>
      <c r="C17" s="62" t="s">
        <v>699</v>
      </c>
      <c r="D17" s="260" t="s">
        <v>779</v>
      </c>
      <c r="E17" s="126" t="s">
        <v>736</v>
      </c>
      <c r="F17" s="261"/>
      <c r="G17" s="20" t="s">
        <v>808</v>
      </c>
      <c r="H17" s="20"/>
      <c r="I17" s="262" t="s">
        <v>762</v>
      </c>
      <c r="J17" s="246" t="str">
        <f t="shared" si="0"/>
        <v/>
      </c>
      <c r="K17" s="7"/>
      <c r="L17" s="97"/>
      <c r="M17" s="257"/>
      <c r="N17" s="253"/>
      <c r="O17" s="246" t="str">
        <f t="shared" si="1"/>
        <v/>
      </c>
      <c r="P17" s="97"/>
      <c r="Q17" s="253"/>
      <c r="R17" s="253"/>
      <c r="S17" s="246" t="str">
        <f t="shared" si="2"/>
        <v/>
      </c>
      <c r="T17" s="97"/>
      <c r="U17" s="253"/>
      <c r="V17" s="253"/>
      <c r="W17" s="246" t="str">
        <f t="shared" si="3"/>
        <v/>
      </c>
      <c r="X17" s="97"/>
      <c r="Y17" s="23"/>
      <c r="Z17" s="23"/>
      <c r="AA17" s="246" t="str">
        <f t="shared" si="4"/>
        <v/>
      </c>
      <c r="AB17" s="97"/>
      <c r="AC17" s="253"/>
      <c r="AD17" s="253"/>
      <c r="AE17" s="246" t="str">
        <f t="shared" si="5"/>
        <v/>
      </c>
      <c r="AF17" s="97"/>
      <c r="AG17" s="253"/>
      <c r="AH17" s="253"/>
      <c r="AI17" s="246" t="str">
        <f t="shared" si="6"/>
        <v/>
      </c>
      <c r="AJ17" s="97"/>
      <c r="AK17" s="253"/>
      <c r="AL17" s="253"/>
      <c r="AM17" s="246" t="str">
        <f t="shared" si="7"/>
        <v/>
      </c>
      <c r="AN17" s="97"/>
      <c r="AO17" s="253"/>
      <c r="AP17" s="253"/>
      <c r="AQ17" s="246" t="str">
        <f t="shared" si="8"/>
        <v/>
      </c>
      <c r="AR17" s="97"/>
      <c r="AS17" s="253"/>
      <c r="AT17" s="253"/>
      <c r="AU17" s="246" t="str">
        <f t="shared" si="9"/>
        <v/>
      </c>
      <c r="AV17" s="97"/>
      <c r="AW17" s="253"/>
      <c r="AX17" s="253"/>
      <c r="AY17" s="246" t="str">
        <f t="shared" si="10"/>
        <v/>
      </c>
      <c r="AZ17" s="97"/>
      <c r="BA17" s="253"/>
      <c r="BB17" s="253"/>
      <c r="BC17" s="246" t="str">
        <f t="shared" si="11"/>
        <v/>
      </c>
      <c r="BD17" s="97"/>
      <c r="BE17" s="253"/>
      <c r="BF17" s="253"/>
      <c r="BG17" s="246" t="str">
        <f t="shared" si="12"/>
        <v/>
      </c>
      <c r="BH17" s="97"/>
      <c r="BI17" s="253"/>
      <c r="BJ17" s="253"/>
      <c r="BK17" s="246" t="str">
        <f t="shared" si="13"/>
        <v/>
      </c>
      <c r="BL17" s="97"/>
      <c r="BM17" s="253"/>
      <c r="BN17" s="253"/>
      <c r="BO17" s="246" t="str">
        <f t="shared" si="14"/>
        <v/>
      </c>
      <c r="BP17" s="97"/>
      <c r="BQ17" s="253"/>
      <c r="BR17" s="253"/>
      <c r="BS17" s="246" t="str">
        <f t="shared" si="15"/>
        <v/>
      </c>
      <c r="BT17" s="97"/>
      <c r="BU17" s="253"/>
      <c r="BV17" s="253"/>
      <c r="BW17" s="246" t="str">
        <f t="shared" si="16"/>
        <v/>
      </c>
    </row>
    <row r="18" spans="1:75">
      <c r="A18" s="88">
        <v>12</v>
      </c>
      <c r="B18" s="50"/>
      <c r="C18" s="62" t="s">
        <v>700</v>
      </c>
      <c r="D18" s="260" t="s">
        <v>779</v>
      </c>
      <c r="E18" s="126" t="s">
        <v>737</v>
      </c>
      <c r="F18" s="261"/>
      <c r="G18" s="20" t="s">
        <v>809</v>
      </c>
      <c r="H18" s="20"/>
      <c r="I18" s="262" t="s">
        <v>762</v>
      </c>
      <c r="J18" s="246" t="str">
        <f t="shared" si="0"/>
        <v/>
      </c>
      <c r="K18" s="7"/>
      <c r="L18" s="97"/>
      <c r="M18" s="257"/>
      <c r="N18" s="253"/>
      <c r="O18" s="246" t="str">
        <f t="shared" si="1"/>
        <v/>
      </c>
      <c r="P18" s="97"/>
      <c r="Q18" s="253"/>
      <c r="R18" s="253"/>
      <c r="S18" s="246" t="str">
        <f t="shared" si="2"/>
        <v/>
      </c>
      <c r="T18" s="97"/>
      <c r="U18" s="253"/>
      <c r="V18" s="253"/>
      <c r="W18" s="246" t="str">
        <f t="shared" si="3"/>
        <v/>
      </c>
      <c r="X18" s="97"/>
      <c r="Y18" s="23"/>
      <c r="Z18" s="23"/>
      <c r="AA18" s="246" t="str">
        <f t="shared" si="4"/>
        <v/>
      </c>
      <c r="AB18" s="97"/>
      <c r="AC18" s="253"/>
      <c r="AD18" s="253"/>
      <c r="AE18" s="246" t="str">
        <f t="shared" si="5"/>
        <v/>
      </c>
      <c r="AF18" s="97"/>
      <c r="AG18" s="253"/>
      <c r="AH18" s="253"/>
      <c r="AI18" s="246" t="str">
        <f t="shared" si="6"/>
        <v/>
      </c>
      <c r="AJ18" s="97"/>
      <c r="AK18" s="253"/>
      <c r="AL18" s="253"/>
      <c r="AM18" s="246" t="str">
        <f t="shared" si="7"/>
        <v/>
      </c>
      <c r="AN18" s="97"/>
      <c r="AO18" s="253"/>
      <c r="AP18" s="253"/>
      <c r="AQ18" s="246" t="str">
        <f t="shared" si="8"/>
        <v/>
      </c>
      <c r="AR18" s="97"/>
      <c r="AS18" s="253"/>
      <c r="AT18" s="253"/>
      <c r="AU18" s="246" t="str">
        <f t="shared" si="9"/>
        <v/>
      </c>
      <c r="AV18" s="97"/>
      <c r="AW18" s="253"/>
      <c r="AX18" s="253"/>
      <c r="AY18" s="246" t="str">
        <f t="shared" si="10"/>
        <v/>
      </c>
      <c r="AZ18" s="97"/>
      <c r="BA18" s="253"/>
      <c r="BB18" s="253"/>
      <c r="BC18" s="246" t="str">
        <f t="shared" si="11"/>
        <v/>
      </c>
      <c r="BD18" s="97"/>
      <c r="BE18" s="253"/>
      <c r="BF18" s="253"/>
      <c r="BG18" s="246" t="str">
        <f t="shared" si="12"/>
        <v/>
      </c>
      <c r="BH18" s="97"/>
      <c r="BI18" s="253"/>
      <c r="BJ18" s="253"/>
      <c r="BK18" s="246" t="str">
        <f t="shared" si="13"/>
        <v/>
      </c>
      <c r="BL18" s="97"/>
      <c r="BM18" s="253"/>
      <c r="BN18" s="253"/>
      <c r="BO18" s="246" t="str">
        <f t="shared" si="14"/>
        <v/>
      </c>
      <c r="BP18" s="97"/>
      <c r="BQ18" s="253"/>
      <c r="BR18" s="253"/>
      <c r="BS18" s="246" t="str">
        <f t="shared" si="15"/>
        <v/>
      </c>
      <c r="BT18" s="97"/>
      <c r="BU18" s="253"/>
      <c r="BV18" s="253"/>
      <c r="BW18" s="246" t="str">
        <f t="shared" si="16"/>
        <v/>
      </c>
    </row>
    <row r="19" spans="1:75">
      <c r="A19" s="88">
        <v>13</v>
      </c>
      <c r="B19" s="50"/>
      <c r="C19" s="62" t="s">
        <v>701</v>
      </c>
      <c r="D19" s="260" t="s">
        <v>779</v>
      </c>
      <c r="E19" s="126" t="s">
        <v>738</v>
      </c>
      <c r="F19" s="261"/>
      <c r="G19" s="20" t="s">
        <v>810</v>
      </c>
      <c r="H19" s="20"/>
      <c r="I19" s="262" t="s">
        <v>762</v>
      </c>
      <c r="J19" s="246" t="str">
        <f t="shared" si="0"/>
        <v/>
      </c>
      <c r="K19" s="7"/>
      <c r="L19" s="97"/>
      <c r="M19" s="257"/>
      <c r="N19" s="253"/>
      <c r="O19" s="246" t="str">
        <f t="shared" si="1"/>
        <v/>
      </c>
      <c r="P19" s="97"/>
      <c r="Q19" s="253"/>
      <c r="R19" s="253"/>
      <c r="S19" s="246" t="str">
        <f t="shared" si="2"/>
        <v/>
      </c>
      <c r="T19" s="97"/>
      <c r="U19" s="253"/>
      <c r="V19" s="253"/>
      <c r="W19" s="246" t="str">
        <f t="shared" si="3"/>
        <v/>
      </c>
      <c r="X19" s="97"/>
      <c r="Y19" s="23"/>
      <c r="Z19" s="23"/>
      <c r="AA19" s="246" t="str">
        <f t="shared" si="4"/>
        <v/>
      </c>
      <c r="AB19" s="97"/>
      <c r="AC19" s="253"/>
      <c r="AD19" s="253"/>
      <c r="AE19" s="246" t="str">
        <f t="shared" si="5"/>
        <v/>
      </c>
      <c r="AF19" s="97"/>
      <c r="AG19" s="253"/>
      <c r="AH19" s="253"/>
      <c r="AI19" s="246" t="str">
        <f t="shared" si="6"/>
        <v/>
      </c>
      <c r="AJ19" s="97"/>
      <c r="AK19" s="253"/>
      <c r="AL19" s="253"/>
      <c r="AM19" s="246" t="str">
        <f t="shared" si="7"/>
        <v/>
      </c>
      <c r="AN19" s="97"/>
      <c r="AO19" s="253"/>
      <c r="AP19" s="253"/>
      <c r="AQ19" s="246" t="str">
        <f t="shared" si="8"/>
        <v/>
      </c>
      <c r="AR19" s="97"/>
      <c r="AS19" s="253"/>
      <c r="AT19" s="253"/>
      <c r="AU19" s="246" t="str">
        <f t="shared" si="9"/>
        <v/>
      </c>
      <c r="AV19" s="97"/>
      <c r="AW19" s="253"/>
      <c r="AX19" s="253"/>
      <c r="AY19" s="246" t="str">
        <f t="shared" si="10"/>
        <v/>
      </c>
      <c r="AZ19" s="97"/>
      <c r="BA19" s="253"/>
      <c r="BB19" s="253"/>
      <c r="BC19" s="246" t="str">
        <f t="shared" si="11"/>
        <v/>
      </c>
      <c r="BD19" s="97"/>
      <c r="BE19" s="253"/>
      <c r="BF19" s="253"/>
      <c r="BG19" s="246" t="str">
        <f t="shared" si="12"/>
        <v/>
      </c>
      <c r="BH19" s="97"/>
      <c r="BI19" s="253"/>
      <c r="BJ19" s="253"/>
      <c r="BK19" s="246" t="str">
        <f t="shared" si="13"/>
        <v/>
      </c>
      <c r="BL19" s="97"/>
      <c r="BM19" s="253"/>
      <c r="BN19" s="253"/>
      <c r="BO19" s="246" t="str">
        <f t="shared" si="14"/>
        <v/>
      </c>
      <c r="BP19" s="97"/>
      <c r="BQ19" s="253"/>
      <c r="BR19" s="253"/>
      <c r="BS19" s="246" t="str">
        <f t="shared" si="15"/>
        <v/>
      </c>
      <c r="BT19" s="97"/>
      <c r="BU19" s="253"/>
      <c r="BV19" s="253"/>
      <c r="BW19" s="246" t="str">
        <f t="shared" si="16"/>
        <v/>
      </c>
    </row>
    <row r="20" spans="1:75">
      <c r="A20" s="88">
        <v>14</v>
      </c>
      <c r="B20" s="50"/>
      <c r="C20" s="62" t="s">
        <v>702</v>
      </c>
      <c r="D20" s="260" t="s">
        <v>779</v>
      </c>
      <c r="E20" s="126" t="s">
        <v>734</v>
      </c>
      <c r="F20" s="261"/>
      <c r="G20" s="20" t="s">
        <v>811</v>
      </c>
      <c r="H20" s="20"/>
      <c r="I20" s="262" t="s">
        <v>759</v>
      </c>
      <c r="J20" s="246" t="str">
        <f t="shared" si="0"/>
        <v/>
      </c>
      <c r="K20" s="7"/>
      <c r="L20" s="97"/>
      <c r="M20" s="257"/>
      <c r="N20" s="253"/>
      <c r="O20" s="246" t="str">
        <f t="shared" si="1"/>
        <v/>
      </c>
      <c r="P20" s="97"/>
      <c r="Q20" s="253"/>
      <c r="R20" s="253"/>
      <c r="S20" s="246" t="str">
        <f t="shared" si="2"/>
        <v/>
      </c>
      <c r="T20" s="97"/>
      <c r="U20" s="253"/>
      <c r="V20" s="253"/>
      <c r="W20" s="246" t="str">
        <f t="shared" si="3"/>
        <v/>
      </c>
      <c r="X20" s="97"/>
      <c r="Y20" s="23"/>
      <c r="Z20" s="23"/>
      <c r="AA20" s="246" t="str">
        <f t="shared" si="4"/>
        <v/>
      </c>
      <c r="AB20" s="97"/>
      <c r="AC20" s="253"/>
      <c r="AD20" s="253"/>
      <c r="AE20" s="246" t="str">
        <f t="shared" si="5"/>
        <v/>
      </c>
      <c r="AF20" s="97"/>
      <c r="AG20" s="253"/>
      <c r="AH20" s="253"/>
      <c r="AI20" s="246" t="str">
        <f t="shared" si="6"/>
        <v/>
      </c>
      <c r="AJ20" s="97"/>
      <c r="AK20" s="253"/>
      <c r="AL20" s="253"/>
      <c r="AM20" s="246" t="str">
        <f t="shared" si="7"/>
        <v/>
      </c>
      <c r="AN20" s="97"/>
      <c r="AO20" s="253"/>
      <c r="AP20" s="253"/>
      <c r="AQ20" s="246" t="str">
        <f t="shared" si="8"/>
        <v/>
      </c>
      <c r="AR20" s="97"/>
      <c r="AS20" s="253"/>
      <c r="AT20" s="253"/>
      <c r="AU20" s="246" t="str">
        <f t="shared" si="9"/>
        <v/>
      </c>
      <c r="AV20" s="97"/>
      <c r="AW20" s="253"/>
      <c r="AX20" s="253"/>
      <c r="AY20" s="246" t="str">
        <f t="shared" si="10"/>
        <v/>
      </c>
      <c r="AZ20" s="97"/>
      <c r="BA20" s="253"/>
      <c r="BB20" s="253"/>
      <c r="BC20" s="246" t="str">
        <f t="shared" si="11"/>
        <v/>
      </c>
      <c r="BD20" s="97"/>
      <c r="BE20" s="253"/>
      <c r="BF20" s="253"/>
      <c r="BG20" s="246" t="str">
        <f t="shared" si="12"/>
        <v/>
      </c>
      <c r="BH20" s="97"/>
      <c r="BI20" s="253"/>
      <c r="BJ20" s="253"/>
      <c r="BK20" s="246" t="str">
        <f t="shared" si="13"/>
        <v/>
      </c>
      <c r="BL20" s="97"/>
      <c r="BM20" s="253"/>
      <c r="BN20" s="253"/>
      <c r="BO20" s="246" t="str">
        <f t="shared" si="14"/>
        <v/>
      </c>
      <c r="BP20" s="97"/>
      <c r="BQ20" s="253"/>
      <c r="BR20" s="253"/>
      <c r="BS20" s="246" t="str">
        <f t="shared" si="15"/>
        <v/>
      </c>
      <c r="BT20" s="97"/>
      <c r="BU20" s="253"/>
      <c r="BV20" s="253"/>
      <c r="BW20" s="246" t="str">
        <f t="shared" si="16"/>
        <v/>
      </c>
    </row>
    <row r="21" spans="1:75">
      <c r="A21" s="88">
        <v>15</v>
      </c>
      <c r="B21" s="50"/>
      <c r="C21" s="62" t="s">
        <v>703</v>
      </c>
      <c r="D21" s="260" t="s">
        <v>779</v>
      </c>
      <c r="E21" s="126" t="s">
        <v>739</v>
      </c>
      <c r="F21" s="261"/>
      <c r="G21" s="20" t="s">
        <v>812</v>
      </c>
      <c r="H21" s="20"/>
      <c r="I21" s="262" t="s">
        <v>759</v>
      </c>
      <c r="J21" s="246" t="str">
        <f t="shared" si="0"/>
        <v/>
      </c>
      <c r="K21" s="7"/>
      <c r="L21" s="97"/>
      <c r="M21" s="257"/>
      <c r="N21" s="253"/>
      <c r="O21" s="246" t="str">
        <f t="shared" si="1"/>
        <v/>
      </c>
      <c r="P21" s="97"/>
      <c r="Q21" s="253"/>
      <c r="R21" s="253"/>
      <c r="S21" s="246" t="str">
        <f t="shared" si="2"/>
        <v/>
      </c>
      <c r="T21" s="97"/>
      <c r="U21" s="253"/>
      <c r="V21" s="253"/>
      <c r="W21" s="246" t="str">
        <f t="shared" si="3"/>
        <v/>
      </c>
      <c r="X21" s="97"/>
      <c r="Y21" s="23"/>
      <c r="Z21" s="23"/>
      <c r="AA21" s="246" t="str">
        <f t="shared" si="4"/>
        <v/>
      </c>
      <c r="AB21" s="97"/>
      <c r="AC21" s="253"/>
      <c r="AD21" s="253"/>
      <c r="AE21" s="246" t="str">
        <f t="shared" si="5"/>
        <v/>
      </c>
      <c r="AF21" s="97"/>
      <c r="AG21" s="253"/>
      <c r="AH21" s="253"/>
      <c r="AI21" s="246" t="str">
        <f t="shared" si="6"/>
        <v/>
      </c>
      <c r="AJ21" s="97"/>
      <c r="AK21" s="253"/>
      <c r="AL21" s="253"/>
      <c r="AM21" s="246" t="str">
        <f t="shared" si="7"/>
        <v/>
      </c>
      <c r="AN21" s="97"/>
      <c r="AO21" s="253"/>
      <c r="AP21" s="253"/>
      <c r="AQ21" s="246" t="str">
        <f t="shared" si="8"/>
        <v/>
      </c>
      <c r="AR21" s="97"/>
      <c r="AS21" s="253"/>
      <c r="AT21" s="253"/>
      <c r="AU21" s="246" t="str">
        <f t="shared" si="9"/>
        <v/>
      </c>
      <c r="AV21" s="97"/>
      <c r="AW21" s="253"/>
      <c r="AX21" s="253"/>
      <c r="AY21" s="246" t="str">
        <f t="shared" si="10"/>
        <v/>
      </c>
      <c r="AZ21" s="97"/>
      <c r="BA21" s="253"/>
      <c r="BB21" s="253"/>
      <c r="BC21" s="246" t="str">
        <f t="shared" si="11"/>
        <v/>
      </c>
      <c r="BD21" s="97"/>
      <c r="BE21" s="253"/>
      <c r="BF21" s="253"/>
      <c r="BG21" s="246" t="str">
        <f t="shared" si="12"/>
        <v/>
      </c>
      <c r="BH21" s="97"/>
      <c r="BI21" s="253"/>
      <c r="BJ21" s="253"/>
      <c r="BK21" s="246" t="str">
        <f t="shared" si="13"/>
        <v/>
      </c>
      <c r="BL21" s="97"/>
      <c r="BM21" s="253"/>
      <c r="BN21" s="253"/>
      <c r="BO21" s="246" t="str">
        <f t="shared" si="14"/>
        <v/>
      </c>
      <c r="BP21" s="97"/>
      <c r="BQ21" s="253"/>
      <c r="BR21" s="253"/>
      <c r="BS21" s="246" t="str">
        <f t="shared" si="15"/>
        <v/>
      </c>
      <c r="BT21" s="97"/>
      <c r="BU21" s="253"/>
      <c r="BV21" s="253"/>
      <c r="BW21" s="246" t="str">
        <f t="shared" si="16"/>
        <v/>
      </c>
    </row>
    <row r="22" spans="1:75">
      <c r="A22" s="88">
        <v>16</v>
      </c>
      <c r="B22" s="50"/>
      <c r="C22" s="62" t="s">
        <v>704</v>
      </c>
      <c r="D22" s="260" t="s">
        <v>780</v>
      </c>
      <c r="E22" s="126" t="s">
        <v>734</v>
      </c>
      <c r="F22" s="261"/>
      <c r="G22" s="20" t="s">
        <v>814</v>
      </c>
      <c r="H22" s="20"/>
      <c r="I22" s="19" t="s">
        <v>763</v>
      </c>
      <c r="J22" s="246" t="str">
        <f t="shared" si="0"/>
        <v/>
      </c>
      <c r="K22" s="7"/>
      <c r="L22" s="97"/>
      <c r="M22" s="257"/>
      <c r="N22" s="253"/>
      <c r="O22" s="246" t="str">
        <f t="shared" si="1"/>
        <v/>
      </c>
      <c r="P22" s="97"/>
      <c r="Q22" s="253"/>
      <c r="R22" s="253"/>
      <c r="S22" s="246" t="str">
        <f t="shared" si="2"/>
        <v/>
      </c>
      <c r="T22" s="97"/>
      <c r="U22" s="253"/>
      <c r="V22" s="253"/>
      <c r="W22" s="246" t="str">
        <f t="shared" si="3"/>
        <v/>
      </c>
      <c r="X22" s="97"/>
      <c r="Y22" s="23"/>
      <c r="Z22" s="23"/>
      <c r="AA22" s="246" t="str">
        <f t="shared" si="4"/>
        <v/>
      </c>
      <c r="AB22" s="97"/>
      <c r="AC22" s="253"/>
      <c r="AD22" s="253"/>
      <c r="AE22" s="246" t="str">
        <f t="shared" si="5"/>
        <v/>
      </c>
      <c r="AF22" s="97"/>
      <c r="AG22" s="253"/>
      <c r="AH22" s="253"/>
      <c r="AI22" s="246" t="str">
        <f t="shared" si="6"/>
        <v/>
      </c>
      <c r="AJ22" s="97"/>
      <c r="AK22" s="253"/>
      <c r="AL22" s="253"/>
      <c r="AM22" s="246" t="str">
        <f t="shared" si="7"/>
        <v/>
      </c>
      <c r="AN22" s="97"/>
      <c r="AO22" s="253"/>
      <c r="AP22" s="253"/>
      <c r="AQ22" s="246" t="str">
        <f t="shared" si="8"/>
        <v/>
      </c>
      <c r="AR22" s="97"/>
      <c r="AS22" s="253"/>
      <c r="AT22" s="253"/>
      <c r="AU22" s="246" t="str">
        <f t="shared" si="9"/>
        <v/>
      </c>
      <c r="AV22" s="97"/>
      <c r="AW22" s="253"/>
      <c r="AX22" s="253"/>
      <c r="AY22" s="246" t="str">
        <f t="shared" si="10"/>
        <v/>
      </c>
      <c r="AZ22" s="97"/>
      <c r="BA22" s="253"/>
      <c r="BB22" s="253"/>
      <c r="BC22" s="246" t="str">
        <f t="shared" si="11"/>
        <v/>
      </c>
      <c r="BD22" s="97"/>
      <c r="BE22" s="253"/>
      <c r="BF22" s="253"/>
      <c r="BG22" s="246" t="str">
        <f t="shared" si="12"/>
        <v/>
      </c>
      <c r="BH22" s="97"/>
      <c r="BI22" s="253"/>
      <c r="BJ22" s="253"/>
      <c r="BK22" s="246" t="str">
        <f t="shared" si="13"/>
        <v/>
      </c>
      <c r="BL22" s="97"/>
      <c r="BM22" s="253"/>
      <c r="BN22" s="253"/>
      <c r="BO22" s="246" t="str">
        <f t="shared" si="14"/>
        <v/>
      </c>
      <c r="BP22" s="97"/>
      <c r="BQ22" s="253"/>
      <c r="BR22" s="253"/>
      <c r="BS22" s="246" t="str">
        <f t="shared" si="15"/>
        <v/>
      </c>
      <c r="BT22" s="97"/>
      <c r="BU22" s="253"/>
      <c r="BV22" s="253"/>
      <c r="BW22" s="246" t="str">
        <f t="shared" si="16"/>
        <v/>
      </c>
    </row>
    <row r="23" spans="1:75">
      <c r="A23" s="88">
        <v>17</v>
      </c>
      <c r="B23" s="50"/>
      <c r="C23" s="62" t="s">
        <v>705</v>
      </c>
      <c r="D23" s="260" t="s">
        <v>781</v>
      </c>
      <c r="E23" s="126" t="s">
        <v>740</v>
      </c>
      <c r="F23" s="261"/>
      <c r="G23" s="20" t="s">
        <v>815</v>
      </c>
      <c r="H23" s="20"/>
      <c r="I23" s="262" t="s">
        <v>759</v>
      </c>
      <c r="J23" s="246" t="str">
        <f t="shared" si="0"/>
        <v/>
      </c>
      <c r="K23" s="7"/>
      <c r="L23" s="97"/>
      <c r="M23" s="257"/>
      <c r="N23" s="253"/>
      <c r="O23" s="246" t="str">
        <f t="shared" si="1"/>
        <v/>
      </c>
      <c r="P23" s="97"/>
      <c r="Q23" s="253"/>
      <c r="R23" s="253"/>
      <c r="S23" s="246" t="str">
        <f t="shared" si="2"/>
        <v/>
      </c>
      <c r="T23" s="97"/>
      <c r="U23" s="253"/>
      <c r="V23" s="253"/>
      <c r="W23" s="246" t="str">
        <f t="shared" si="3"/>
        <v/>
      </c>
      <c r="X23" s="97"/>
      <c r="Y23" s="23"/>
      <c r="Z23" s="23"/>
      <c r="AA23" s="246" t="str">
        <f t="shared" si="4"/>
        <v/>
      </c>
      <c r="AB23" s="97"/>
      <c r="AC23" s="253"/>
      <c r="AD23" s="253"/>
      <c r="AE23" s="246" t="str">
        <f t="shared" si="5"/>
        <v/>
      </c>
      <c r="AF23" s="97"/>
      <c r="AG23" s="253"/>
      <c r="AH23" s="253"/>
      <c r="AI23" s="246" t="str">
        <f t="shared" si="6"/>
        <v/>
      </c>
      <c r="AJ23" s="97"/>
      <c r="AK23" s="253"/>
      <c r="AL23" s="253"/>
      <c r="AM23" s="246" t="str">
        <f t="shared" si="7"/>
        <v/>
      </c>
      <c r="AN23" s="97"/>
      <c r="AO23" s="253"/>
      <c r="AP23" s="253"/>
      <c r="AQ23" s="246" t="str">
        <f t="shared" si="8"/>
        <v/>
      </c>
      <c r="AR23" s="97"/>
      <c r="AS23" s="253"/>
      <c r="AT23" s="253"/>
      <c r="AU23" s="246" t="str">
        <f t="shared" si="9"/>
        <v/>
      </c>
      <c r="AV23" s="97"/>
      <c r="AW23" s="253"/>
      <c r="AX23" s="253"/>
      <c r="AY23" s="246" t="str">
        <f t="shared" si="10"/>
        <v/>
      </c>
      <c r="AZ23" s="97"/>
      <c r="BA23" s="253"/>
      <c r="BB23" s="253"/>
      <c r="BC23" s="246" t="str">
        <f t="shared" si="11"/>
        <v/>
      </c>
      <c r="BD23" s="97"/>
      <c r="BE23" s="253"/>
      <c r="BF23" s="253"/>
      <c r="BG23" s="246" t="str">
        <f t="shared" si="12"/>
        <v/>
      </c>
      <c r="BH23" s="97"/>
      <c r="BI23" s="253"/>
      <c r="BJ23" s="253"/>
      <c r="BK23" s="246" t="str">
        <f t="shared" si="13"/>
        <v/>
      </c>
      <c r="BL23" s="97"/>
      <c r="BM23" s="253"/>
      <c r="BN23" s="253"/>
      <c r="BO23" s="246" t="str">
        <f t="shared" si="14"/>
        <v/>
      </c>
      <c r="BP23" s="97"/>
      <c r="BQ23" s="253"/>
      <c r="BR23" s="253"/>
      <c r="BS23" s="246" t="str">
        <f t="shared" si="15"/>
        <v/>
      </c>
      <c r="BT23" s="97"/>
      <c r="BU23" s="253"/>
      <c r="BV23" s="253"/>
      <c r="BW23" s="246" t="str">
        <f t="shared" si="16"/>
        <v/>
      </c>
    </row>
    <row r="24" spans="1:75">
      <c r="A24" s="88">
        <v>18</v>
      </c>
      <c r="B24" s="50"/>
      <c r="C24" s="62" t="s">
        <v>706</v>
      </c>
      <c r="D24" s="260" t="s">
        <v>782</v>
      </c>
      <c r="E24" s="126" t="s">
        <v>741</v>
      </c>
      <c r="F24" s="261"/>
      <c r="G24" s="20" t="s">
        <v>816</v>
      </c>
      <c r="H24" s="20"/>
      <c r="I24" s="262" t="s">
        <v>763</v>
      </c>
      <c r="J24" s="246" t="str">
        <f t="shared" si="0"/>
        <v/>
      </c>
      <c r="K24" s="7"/>
      <c r="L24" s="97"/>
      <c r="M24" s="257"/>
      <c r="N24" s="253"/>
      <c r="O24" s="246" t="str">
        <f t="shared" si="1"/>
        <v/>
      </c>
      <c r="P24" s="97"/>
      <c r="Q24" s="253"/>
      <c r="R24" s="253"/>
      <c r="S24" s="246" t="str">
        <f t="shared" si="2"/>
        <v/>
      </c>
      <c r="T24" s="97"/>
      <c r="U24" s="253"/>
      <c r="V24" s="253"/>
      <c r="W24" s="246" t="str">
        <f t="shared" si="3"/>
        <v/>
      </c>
      <c r="X24" s="97"/>
      <c r="Y24" s="23"/>
      <c r="Z24" s="23"/>
      <c r="AA24" s="246" t="str">
        <f t="shared" si="4"/>
        <v/>
      </c>
      <c r="AB24" s="97"/>
      <c r="AC24" s="253"/>
      <c r="AD24" s="253"/>
      <c r="AE24" s="246" t="str">
        <f t="shared" si="5"/>
        <v/>
      </c>
      <c r="AF24" s="97"/>
      <c r="AG24" s="253"/>
      <c r="AH24" s="253"/>
      <c r="AI24" s="246" t="str">
        <f t="shared" si="6"/>
        <v/>
      </c>
      <c r="AJ24" s="97"/>
      <c r="AK24" s="253"/>
      <c r="AL24" s="253"/>
      <c r="AM24" s="246" t="str">
        <f t="shared" si="7"/>
        <v/>
      </c>
      <c r="AN24" s="97"/>
      <c r="AO24" s="253"/>
      <c r="AP24" s="253"/>
      <c r="AQ24" s="246" t="str">
        <f t="shared" si="8"/>
        <v/>
      </c>
      <c r="AR24" s="97"/>
      <c r="AS24" s="253"/>
      <c r="AT24" s="253"/>
      <c r="AU24" s="246" t="str">
        <f t="shared" si="9"/>
        <v/>
      </c>
      <c r="AV24" s="97"/>
      <c r="AW24" s="253"/>
      <c r="AX24" s="253"/>
      <c r="AY24" s="246" t="str">
        <f t="shared" si="10"/>
        <v/>
      </c>
      <c r="AZ24" s="97"/>
      <c r="BA24" s="253"/>
      <c r="BB24" s="253"/>
      <c r="BC24" s="246" t="str">
        <f t="shared" si="11"/>
        <v/>
      </c>
      <c r="BD24" s="97"/>
      <c r="BE24" s="253"/>
      <c r="BF24" s="253"/>
      <c r="BG24" s="246" t="str">
        <f t="shared" si="12"/>
        <v/>
      </c>
      <c r="BH24" s="97"/>
      <c r="BI24" s="253"/>
      <c r="BJ24" s="253"/>
      <c r="BK24" s="246" t="str">
        <f t="shared" si="13"/>
        <v/>
      </c>
      <c r="BL24" s="97"/>
      <c r="BM24" s="253"/>
      <c r="BN24" s="253"/>
      <c r="BO24" s="246" t="str">
        <f t="shared" si="14"/>
        <v/>
      </c>
      <c r="BP24" s="97"/>
      <c r="BQ24" s="253"/>
      <c r="BR24" s="253"/>
      <c r="BS24" s="246" t="str">
        <f t="shared" si="15"/>
        <v/>
      </c>
      <c r="BT24" s="97"/>
      <c r="BU24" s="253"/>
      <c r="BV24" s="253"/>
      <c r="BW24" s="246" t="str">
        <f t="shared" si="16"/>
        <v/>
      </c>
    </row>
    <row r="25" spans="1:75">
      <c r="A25" s="88">
        <v>19</v>
      </c>
      <c r="B25" s="50"/>
      <c r="C25" s="62" t="s">
        <v>707</v>
      </c>
      <c r="D25" s="260" t="s">
        <v>783</v>
      </c>
      <c r="E25" s="126" t="s">
        <v>742</v>
      </c>
      <c r="F25" s="261"/>
      <c r="G25" s="20" t="s">
        <v>817</v>
      </c>
      <c r="H25" s="20"/>
      <c r="I25" s="262" t="s">
        <v>764</v>
      </c>
      <c r="J25" s="246" t="str">
        <f t="shared" si="0"/>
        <v/>
      </c>
      <c r="K25" s="7"/>
      <c r="L25" s="97"/>
      <c r="M25" s="257"/>
      <c r="N25" s="253"/>
      <c r="O25" s="246" t="str">
        <f t="shared" si="1"/>
        <v/>
      </c>
      <c r="P25" s="97"/>
      <c r="Q25" s="253"/>
      <c r="R25" s="253"/>
      <c r="S25" s="246" t="str">
        <f t="shared" si="2"/>
        <v/>
      </c>
      <c r="T25" s="97"/>
      <c r="U25" s="253"/>
      <c r="V25" s="253"/>
      <c r="W25" s="246" t="str">
        <f t="shared" si="3"/>
        <v/>
      </c>
      <c r="X25" s="97"/>
      <c r="Y25" s="23"/>
      <c r="Z25" s="23"/>
      <c r="AA25" s="246" t="str">
        <f t="shared" si="4"/>
        <v/>
      </c>
      <c r="AB25" s="97"/>
      <c r="AC25" s="253"/>
      <c r="AD25" s="253"/>
      <c r="AE25" s="246" t="str">
        <f t="shared" si="5"/>
        <v/>
      </c>
      <c r="AF25" s="97"/>
      <c r="AG25" s="253"/>
      <c r="AH25" s="253"/>
      <c r="AI25" s="246" t="str">
        <f t="shared" si="6"/>
        <v/>
      </c>
      <c r="AJ25" s="97"/>
      <c r="AK25" s="253"/>
      <c r="AL25" s="253"/>
      <c r="AM25" s="246" t="str">
        <f t="shared" si="7"/>
        <v/>
      </c>
      <c r="AN25" s="97"/>
      <c r="AO25" s="253"/>
      <c r="AP25" s="253"/>
      <c r="AQ25" s="246" t="str">
        <f t="shared" si="8"/>
        <v/>
      </c>
      <c r="AR25" s="97"/>
      <c r="AS25" s="253"/>
      <c r="AT25" s="253"/>
      <c r="AU25" s="246" t="str">
        <f t="shared" si="9"/>
        <v/>
      </c>
      <c r="AV25" s="97"/>
      <c r="AW25" s="253"/>
      <c r="AX25" s="253"/>
      <c r="AY25" s="246" t="str">
        <f t="shared" si="10"/>
        <v/>
      </c>
      <c r="AZ25" s="97"/>
      <c r="BA25" s="253"/>
      <c r="BB25" s="253"/>
      <c r="BC25" s="246" t="str">
        <f t="shared" si="11"/>
        <v/>
      </c>
      <c r="BD25" s="97"/>
      <c r="BE25" s="253"/>
      <c r="BF25" s="253"/>
      <c r="BG25" s="246" t="str">
        <f t="shared" si="12"/>
        <v/>
      </c>
      <c r="BH25" s="97"/>
      <c r="BI25" s="253"/>
      <c r="BJ25" s="253"/>
      <c r="BK25" s="246" t="str">
        <f t="shared" si="13"/>
        <v/>
      </c>
      <c r="BL25" s="97"/>
      <c r="BM25" s="253"/>
      <c r="BN25" s="253"/>
      <c r="BO25" s="246" t="str">
        <f t="shared" si="14"/>
        <v/>
      </c>
      <c r="BP25" s="97"/>
      <c r="BQ25" s="253"/>
      <c r="BR25" s="253"/>
      <c r="BS25" s="246" t="str">
        <f t="shared" si="15"/>
        <v/>
      </c>
      <c r="BT25" s="97"/>
      <c r="BU25" s="253"/>
      <c r="BV25" s="253"/>
      <c r="BW25" s="246" t="str">
        <f t="shared" si="16"/>
        <v/>
      </c>
    </row>
    <row r="26" spans="1:75">
      <c r="A26" s="88">
        <v>20</v>
      </c>
      <c r="B26" s="50"/>
      <c r="C26" s="62" t="s">
        <v>708</v>
      </c>
      <c r="D26" s="260" t="s">
        <v>783</v>
      </c>
      <c r="E26" s="126" t="s">
        <v>743</v>
      </c>
      <c r="F26" s="261"/>
      <c r="G26" s="20" t="s">
        <v>812</v>
      </c>
      <c r="H26" s="20"/>
      <c r="I26" s="262" t="s">
        <v>764</v>
      </c>
      <c r="J26" s="246" t="str">
        <f t="shared" si="0"/>
        <v/>
      </c>
      <c r="K26" s="7"/>
      <c r="L26" s="97"/>
      <c r="M26" s="257"/>
      <c r="N26" s="253"/>
      <c r="O26" s="246" t="str">
        <f t="shared" si="1"/>
        <v/>
      </c>
      <c r="P26" s="97"/>
      <c r="Q26" s="253"/>
      <c r="R26" s="253"/>
      <c r="S26" s="246" t="str">
        <f t="shared" si="2"/>
        <v/>
      </c>
      <c r="T26" s="97"/>
      <c r="U26" s="253"/>
      <c r="V26" s="253"/>
      <c r="W26" s="246" t="str">
        <f t="shared" si="3"/>
        <v/>
      </c>
      <c r="X26" s="97"/>
      <c r="Y26" s="23"/>
      <c r="Z26" s="23"/>
      <c r="AA26" s="246" t="str">
        <f t="shared" si="4"/>
        <v/>
      </c>
      <c r="AB26" s="97"/>
      <c r="AC26" s="253"/>
      <c r="AD26" s="253"/>
      <c r="AE26" s="246" t="str">
        <f t="shared" si="5"/>
        <v/>
      </c>
      <c r="AF26" s="97"/>
      <c r="AG26" s="253"/>
      <c r="AH26" s="253"/>
      <c r="AI26" s="246" t="str">
        <f t="shared" si="6"/>
        <v/>
      </c>
      <c r="AJ26" s="97"/>
      <c r="AK26" s="253"/>
      <c r="AL26" s="253"/>
      <c r="AM26" s="246" t="str">
        <f t="shared" si="7"/>
        <v/>
      </c>
      <c r="AN26" s="97"/>
      <c r="AO26" s="253"/>
      <c r="AP26" s="253"/>
      <c r="AQ26" s="246" t="str">
        <f t="shared" si="8"/>
        <v/>
      </c>
      <c r="AR26" s="97"/>
      <c r="AS26" s="253"/>
      <c r="AT26" s="253"/>
      <c r="AU26" s="246" t="str">
        <f t="shared" si="9"/>
        <v/>
      </c>
      <c r="AV26" s="97"/>
      <c r="AW26" s="253"/>
      <c r="AX26" s="253"/>
      <c r="AY26" s="246" t="str">
        <f t="shared" si="10"/>
        <v/>
      </c>
      <c r="AZ26" s="97"/>
      <c r="BA26" s="253"/>
      <c r="BB26" s="253"/>
      <c r="BC26" s="246" t="str">
        <f t="shared" si="11"/>
        <v/>
      </c>
      <c r="BD26" s="97"/>
      <c r="BE26" s="253"/>
      <c r="BF26" s="253"/>
      <c r="BG26" s="246" t="str">
        <f t="shared" si="12"/>
        <v/>
      </c>
      <c r="BH26" s="97"/>
      <c r="BI26" s="253"/>
      <c r="BJ26" s="253"/>
      <c r="BK26" s="246" t="str">
        <f t="shared" si="13"/>
        <v/>
      </c>
      <c r="BL26" s="97"/>
      <c r="BM26" s="253"/>
      <c r="BN26" s="253"/>
      <c r="BO26" s="246" t="str">
        <f t="shared" si="14"/>
        <v/>
      </c>
      <c r="BP26" s="97"/>
      <c r="BQ26" s="253"/>
      <c r="BR26" s="253"/>
      <c r="BS26" s="246" t="str">
        <f t="shared" si="15"/>
        <v/>
      </c>
      <c r="BT26" s="97"/>
      <c r="BU26" s="253"/>
      <c r="BV26" s="253"/>
      <c r="BW26" s="246" t="str">
        <f t="shared" si="16"/>
        <v/>
      </c>
    </row>
    <row r="27" spans="1:75">
      <c r="A27" s="88">
        <v>21</v>
      </c>
      <c r="B27" s="50"/>
      <c r="C27" s="62" t="s">
        <v>709</v>
      </c>
      <c r="D27" s="260" t="s">
        <v>784</v>
      </c>
      <c r="E27" s="126" t="s">
        <v>744</v>
      </c>
      <c r="F27" s="261"/>
      <c r="G27" s="20" t="s">
        <v>818</v>
      </c>
      <c r="H27" s="20" t="s">
        <v>819</v>
      </c>
      <c r="I27" s="262" t="s">
        <v>765</v>
      </c>
      <c r="J27" s="246" t="str">
        <f t="shared" si="0"/>
        <v/>
      </c>
      <c r="K27" s="7"/>
      <c r="L27" s="97"/>
      <c r="M27" s="257"/>
      <c r="N27" s="253"/>
      <c r="O27" s="246" t="str">
        <f t="shared" si="1"/>
        <v/>
      </c>
      <c r="P27" s="97"/>
      <c r="Q27" s="253"/>
      <c r="R27" s="253"/>
      <c r="S27" s="246" t="str">
        <f t="shared" si="2"/>
        <v/>
      </c>
      <c r="T27" s="97"/>
      <c r="U27" s="253"/>
      <c r="V27" s="253"/>
      <c r="W27" s="246" t="str">
        <f t="shared" si="3"/>
        <v/>
      </c>
      <c r="X27" s="97"/>
      <c r="Y27" s="23"/>
      <c r="Z27" s="23"/>
      <c r="AA27" s="246" t="str">
        <f t="shared" si="4"/>
        <v/>
      </c>
      <c r="AB27" s="97"/>
      <c r="AC27" s="253"/>
      <c r="AD27" s="253"/>
      <c r="AE27" s="246" t="str">
        <f t="shared" si="5"/>
        <v/>
      </c>
      <c r="AF27" s="97"/>
      <c r="AG27" s="253"/>
      <c r="AH27" s="253"/>
      <c r="AI27" s="246" t="str">
        <f t="shared" si="6"/>
        <v/>
      </c>
      <c r="AJ27" s="97"/>
      <c r="AK27" s="253"/>
      <c r="AL27" s="253"/>
      <c r="AM27" s="246" t="str">
        <f t="shared" si="7"/>
        <v/>
      </c>
      <c r="AN27" s="97"/>
      <c r="AO27" s="253"/>
      <c r="AP27" s="253"/>
      <c r="AQ27" s="246" t="str">
        <f t="shared" si="8"/>
        <v/>
      </c>
      <c r="AR27" s="97"/>
      <c r="AS27" s="253"/>
      <c r="AT27" s="253"/>
      <c r="AU27" s="246" t="str">
        <f t="shared" si="9"/>
        <v/>
      </c>
      <c r="AV27" s="97"/>
      <c r="AW27" s="253"/>
      <c r="AX27" s="253"/>
      <c r="AY27" s="246" t="str">
        <f t="shared" si="10"/>
        <v/>
      </c>
      <c r="AZ27" s="97"/>
      <c r="BA27" s="253"/>
      <c r="BB27" s="253"/>
      <c r="BC27" s="246" t="str">
        <f t="shared" si="11"/>
        <v/>
      </c>
      <c r="BD27" s="97"/>
      <c r="BE27" s="253"/>
      <c r="BF27" s="253"/>
      <c r="BG27" s="246" t="str">
        <f t="shared" si="12"/>
        <v/>
      </c>
      <c r="BH27" s="97"/>
      <c r="BI27" s="253"/>
      <c r="BJ27" s="253"/>
      <c r="BK27" s="246" t="str">
        <f t="shared" si="13"/>
        <v/>
      </c>
      <c r="BL27" s="97"/>
      <c r="BM27" s="253"/>
      <c r="BN27" s="253"/>
      <c r="BO27" s="246" t="str">
        <f t="shared" si="14"/>
        <v/>
      </c>
      <c r="BP27" s="97"/>
      <c r="BQ27" s="253"/>
      <c r="BR27" s="253"/>
      <c r="BS27" s="246" t="str">
        <f t="shared" si="15"/>
        <v/>
      </c>
      <c r="BT27" s="97"/>
      <c r="BU27" s="253"/>
      <c r="BV27" s="253"/>
      <c r="BW27" s="246" t="str">
        <f t="shared" si="16"/>
        <v/>
      </c>
    </row>
    <row r="28" spans="1:75">
      <c r="A28" s="88">
        <v>22</v>
      </c>
      <c r="B28" s="50"/>
      <c r="C28" s="62" t="s">
        <v>710</v>
      </c>
      <c r="D28" s="260" t="s">
        <v>785</v>
      </c>
      <c r="E28" s="126" t="s">
        <v>743</v>
      </c>
      <c r="F28" s="261" t="s">
        <v>821</v>
      </c>
      <c r="G28" s="20" t="s">
        <v>820</v>
      </c>
      <c r="H28" s="20"/>
      <c r="I28" s="262" t="s">
        <v>766</v>
      </c>
      <c r="J28" s="246" t="str">
        <f t="shared" si="0"/>
        <v/>
      </c>
      <c r="K28" s="7"/>
      <c r="L28" s="97"/>
      <c r="M28" s="257"/>
      <c r="N28" s="253"/>
      <c r="O28" s="246" t="str">
        <f t="shared" si="1"/>
        <v/>
      </c>
      <c r="P28" s="97"/>
      <c r="Q28" s="253"/>
      <c r="R28" s="253"/>
      <c r="S28" s="246" t="str">
        <f t="shared" si="2"/>
        <v/>
      </c>
      <c r="T28" s="97"/>
      <c r="U28" s="253"/>
      <c r="V28" s="253"/>
      <c r="W28" s="246" t="str">
        <f t="shared" si="3"/>
        <v/>
      </c>
      <c r="X28" s="97"/>
      <c r="Y28" s="23"/>
      <c r="Z28" s="23"/>
      <c r="AA28" s="246" t="str">
        <f t="shared" si="4"/>
        <v/>
      </c>
      <c r="AB28" s="97"/>
      <c r="AC28" s="253"/>
      <c r="AD28" s="253"/>
      <c r="AE28" s="246" t="str">
        <f t="shared" si="5"/>
        <v/>
      </c>
      <c r="AF28" s="97"/>
      <c r="AG28" s="253"/>
      <c r="AH28" s="253"/>
      <c r="AI28" s="246" t="str">
        <f t="shared" si="6"/>
        <v/>
      </c>
      <c r="AJ28" s="97"/>
      <c r="AK28" s="253"/>
      <c r="AL28" s="253"/>
      <c r="AM28" s="246" t="str">
        <f t="shared" si="7"/>
        <v/>
      </c>
      <c r="AN28" s="97"/>
      <c r="AO28" s="253"/>
      <c r="AP28" s="253"/>
      <c r="AQ28" s="246" t="str">
        <f t="shared" si="8"/>
        <v/>
      </c>
      <c r="AR28" s="97"/>
      <c r="AS28" s="253"/>
      <c r="AT28" s="253"/>
      <c r="AU28" s="246" t="str">
        <f t="shared" si="9"/>
        <v/>
      </c>
      <c r="AV28" s="97"/>
      <c r="AW28" s="253"/>
      <c r="AX28" s="253"/>
      <c r="AY28" s="246" t="str">
        <f t="shared" si="10"/>
        <v/>
      </c>
      <c r="AZ28" s="97"/>
      <c r="BA28" s="253"/>
      <c r="BB28" s="253"/>
      <c r="BC28" s="246" t="str">
        <f t="shared" si="11"/>
        <v/>
      </c>
      <c r="BD28" s="97"/>
      <c r="BE28" s="253"/>
      <c r="BF28" s="253"/>
      <c r="BG28" s="246" t="str">
        <f t="shared" si="12"/>
        <v/>
      </c>
      <c r="BH28" s="97"/>
      <c r="BI28" s="253"/>
      <c r="BJ28" s="253"/>
      <c r="BK28" s="246" t="str">
        <f t="shared" si="13"/>
        <v/>
      </c>
      <c r="BL28" s="97"/>
      <c r="BM28" s="253"/>
      <c r="BN28" s="253"/>
      <c r="BO28" s="246" t="str">
        <f t="shared" si="14"/>
        <v/>
      </c>
      <c r="BP28" s="97"/>
      <c r="BQ28" s="253"/>
      <c r="BR28" s="253"/>
      <c r="BS28" s="246" t="str">
        <f t="shared" si="15"/>
        <v/>
      </c>
      <c r="BT28" s="97"/>
      <c r="BU28" s="253"/>
      <c r="BV28" s="253"/>
      <c r="BW28" s="246" t="str">
        <f t="shared" si="16"/>
        <v/>
      </c>
    </row>
    <row r="29" spans="1:75">
      <c r="A29" s="88">
        <v>23</v>
      </c>
      <c r="B29" s="50"/>
      <c r="C29" s="62" t="s">
        <v>711</v>
      </c>
      <c r="D29" s="260" t="s">
        <v>786</v>
      </c>
      <c r="E29" s="126" t="s">
        <v>745</v>
      </c>
      <c r="F29" s="261"/>
      <c r="G29" s="20" t="s">
        <v>822</v>
      </c>
      <c r="H29" s="20"/>
      <c r="I29" s="262" t="s">
        <v>760</v>
      </c>
      <c r="J29" s="246" t="str">
        <f t="shared" si="0"/>
        <v/>
      </c>
      <c r="K29" s="7"/>
      <c r="L29" s="97"/>
      <c r="M29" s="257"/>
      <c r="N29" s="253"/>
      <c r="O29" s="246" t="str">
        <f t="shared" si="1"/>
        <v/>
      </c>
      <c r="P29" s="97"/>
      <c r="Q29" s="253"/>
      <c r="R29" s="253"/>
      <c r="S29" s="246" t="str">
        <f t="shared" si="2"/>
        <v/>
      </c>
      <c r="T29" s="97"/>
      <c r="U29" s="253"/>
      <c r="V29" s="253"/>
      <c r="W29" s="246" t="str">
        <f t="shared" si="3"/>
        <v/>
      </c>
      <c r="X29" s="97"/>
      <c r="Y29" s="23"/>
      <c r="Z29" s="23"/>
      <c r="AA29" s="246" t="str">
        <f t="shared" si="4"/>
        <v/>
      </c>
      <c r="AB29" s="97"/>
      <c r="AC29" s="253"/>
      <c r="AD29" s="253"/>
      <c r="AE29" s="246" t="str">
        <f t="shared" si="5"/>
        <v/>
      </c>
      <c r="AF29" s="97"/>
      <c r="AG29" s="253"/>
      <c r="AH29" s="253"/>
      <c r="AI29" s="246" t="str">
        <f t="shared" si="6"/>
        <v/>
      </c>
      <c r="AJ29" s="97"/>
      <c r="AK29" s="253"/>
      <c r="AL29" s="253"/>
      <c r="AM29" s="246" t="str">
        <f t="shared" si="7"/>
        <v/>
      </c>
      <c r="AN29" s="97"/>
      <c r="AO29" s="253"/>
      <c r="AP29" s="253"/>
      <c r="AQ29" s="246" t="str">
        <f t="shared" si="8"/>
        <v/>
      </c>
      <c r="AR29" s="97"/>
      <c r="AS29" s="253"/>
      <c r="AT29" s="253"/>
      <c r="AU29" s="246" t="str">
        <f t="shared" si="9"/>
        <v/>
      </c>
      <c r="AV29" s="97"/>
      <c r="AW29" s="253"/>
      <c r="AX29" s="253"/>
      <c r="AY29" s="246" t="str">
        <f t="shared" si="10"/>
        <v/>
      </c>
      <c r="AZ29" s="97"/>
      <c r="BA29" s="253"/>
      <c r="BB29" s="253"/>
      <c r="BC29" s="246" t="str">
        <f t="shared" si="11"/>
        <v/>
      </c>
      <c r="BD29" s="97"/>
      <c r="BE29" s="253"/>
      <c r="BF29" s="253"/>
      <c r="BG29" s="246" t="str">
        <f t="shared" si="12"/>
        <v/>
      </c>
      <c r="BH29" s="97"/>
      <c r="BI29" s="253"/>
      <c r="BJ29" s="253"/>
      <c r="BK29" s="246" t="str">
        <f t="shared" si="13"/>
        <v/>
      </c>
      <c r="BL29" s="97"/>
      <c r="BM29" s="253"/>
      <c r="BN29" s="253"/>
      <c r="BO29" s="246" t="str">
        <f t="shared" si="14"/>
        <v/>
      </c>
      <c r="BP29" s="97"/>
      <c r="BQ29" s="253"/>
      <c r="BR29" s="253"/>
      <c r="BS29" s="246" t="str">
        <f t="shared" si="15"/>
        <v/>
      </c>
      <c r="BT29" s="97"/>
      <c r="BU29" s="253"/>
      <c r="BV29" s="253"/>
      <c r="BW29" s="246" t="str">
        <f t="shared" si="16"/>
        <v/>
      </c>
    </row>
    <row r="30" spans="1:75">
      <c r="A30" s="88">
        <v>24</v>
      </c>
      <c r="B30" s="50"/>
      <c r="C30" s="62" t="s">
        <v>712</v>
      </c>
      <c r="D30" s="260" t="s">
        <v>787</v>
      </c>
      <c r="E30" s="126" t="s">
        <v>746</v>
      </c>
      <c r="F30" s="261"/>
      <c r="G30" s="20" t="s">
        <v>823</v>
      </c>
      <c r="H30" s="20"/>
      <c r="I30" s="262" t="s">
        <v>760</v>
      </c>
      <c r="J30" s="246" t="str">
        <f t="shared" si="0"/>
        <v/>
      </c>
      <c r="K30" s="7"/>
      <c r="L30" s="97"/>
      <c r="M30" s="257"/>
      <c r="N30" s="253"/>
      <c r="O30" s="246" t="str">
        <f t="shared" si="1"/>
        <v/>
      </c>
      <c r="P30" s="97"/>
      <c r="Q30" s="253"/>
      <c r="R30" s="253"/>
      <c r="S30" s="246" t="str">
        <f t="shared" si="2"/>
        <v/>
      </c>
      <c r="T30" s="97"/>
      <c r="U30" s="253"/>
      <c r="V30" s="253"/>
      <c r="W30" s="246" t="str">
        <f t="shared" si="3"/>
        <v/>
      </c>
      <c r="X30" s="97"/>
      <c r="Y30" s="23"/>
      <c r="Z30" s="23"/>
      <c r="AA30" s="246" t="str">
        <f t="shared" si="4"/>
        <v/>
      </c>
      <c r="AB30" s="97"/>
      <c r="AC30" s="253"/>
      <c r="AD30" s="253"/>
      <c r="AE30" s="246" t="str">
        <f t="shared" si="5"/>
        <v/>
      </c>
      <c r="AF30" s="97"/>
      <c r="AG30" s="253"/>
      <c r="AH30" s="253"/>
      <c r="AI30" s="246" t="str">
        <f t="shared" si="6"/>
        <v/>
      </c>
      <c r="AJ30" s="97"/>
      <c r="AK30" s="253"/>
      <c r="AL30" s="253"/>
      <c r="AM30" s="246" t="str">
        <f t="shared" si="7"/>
        <v/>
      </c>
      <c r="AN30" s="97"/>
      <c r="AO30" s="253"/>
      <c r="AP30" s="253"/>
      <c r="AQ30" s="246" t="str">
        <f t="shared" si="8"/>
        <v/>
      </c>
      <c r="AR30" s="97"/>
      <c r="AS30" s="253"/>
      <c r="AT30" s="253"/>
      <c r="AU30" s="246" t="str">
        <f t="shared" si="9"/>
        <v/>
      </c>
      <c r="AV30" s="97"/>
      <c r="AW30" s="253"/>
      <c r="AX30" s="253"/>
      <c r="AY30" s="246" t="str">
        <f t="shared" si="10"/>
        <v/>
      </c>
      <c r="AZ30" s="97"/>
      <c r="BA30" s="253"/>
      <c r="BB30" s="253"/>
      <c r="BC30" s="246" t="str">
        <f t="shared" si="11"/>
        <v/>
      </c>
      <c r="BD30" s="97"/>
      <c r="BE30" s="253"/>
      <c r="BF30" s="253"/>
      <c r="BG30" s="246" t="str">
        <f t="shared" si="12"/>
        <v/>
      </c>
      <c r="BH30" s="97"/>
      <c r="BI30" s="253"/>
      <c r="BJ30" s="253"/>
      <c r="BK30" s="246" t="str">
        <f t="shared" si="13"/>
        <v/>
      </c>
      <c r="BL30" s="97"/>
      <c r="BM30" s="253"/>
      <c r="BN30" s="253"/>
      <c r="BO30" s="246" t="str">
        <f t="shared" si="14"/>
        <v/>
      </c>
      <c r="BP30" s="97"/>
      <c r="BQ30" s="253"/>
      <c r="BR30" s="253"/>
      <c r="BS30" s="246" t="str">
        <f t="shared" si="15"/>
        <v/>
      </c>
      <c r="BT30" s="97"/>
      <c r="BU30" s="253"/>
      <c r="BV30" s="253"/>
      <c r="BW30" s="246" t="str">
        <f t="shared" si="16"/>
        <v/>
      </c>
    </row>
    <row r="31" spans="1:75">
      <c r="A31" s="88">
        <v>25</v>
      </c>
      <c r="B31" s="50"/>
      <c r="C31" s="62" t="s">
        <v>713</v>
      </c>
      <c r="D31" s="260" t="s">
        <v>788</v>
      </c>
      <c r="E31" s="126" t="s">
        <v>729</v>
      </c>
      <c r="F31" s="263"/>
      <c r="G31" s="20" t="s">
        <v>799</v>
      </c>
      <c r="H31" s="20"/>
      <c r="I31" s="19" t="s">
        <v>757</v>
      </c>
      <c r="J31" s="246" t="str">
        <f t="shared" si="0"/>
        <v/>
      </c>
      <c r="K31" s="7"/>
      <c r="L31" s="97"/>
      <c r="M31" s="257"/>
      <c r="N31" s="253"/>
      <c r="O31" s="246" t="str">
        <f t="shared" si="1"/>
        <v/>
      </c>
      <c r="P31" s="97"/>
      <c r="Q31" s="253"/>
      <c r="R31" s="253"/>
      <c r="S31" s="246" t="str">
        <f t="shared" si="2"/>
        <v/>
      </c>
      <c r="T31" s="97"/>
      <c r="U31" s="253"/>
      <c r="V31" s="253"/>
      <c r="W31" s="246" t="str">
        <f t="shared" si="3"/>
        <v/>
      </c>
      <c r="X31" s="97"/>
      <c r="Y31" s="23"/>
      <c r="Z31" s="23"/>
      <c r="AA31" s="246" t="str">
        <f t="shared" si="4"/>
        <v/>
      </c>
      <c r="AB31" s="97"/>
      <c r="AC31" s="253"/>
      <c r="AD31" s="253"/>
      <c r="AE31" s="246" t="str">
        <f t="shared" si="5"/>
        <v/>
      </c>
      <c r="AF31" s="97"/>
      <c r="AG31" s="253"/>
      <c r="AH31" s="253"/>
      <c r="AI31" s="246" t="str">
        <f t="shared" si="6"/>
        <v/>
      </c>
      <c r="AJ31" s="97"/>
      <c r="AK31" s="253"/>
      <c r="AL31" s="253"/>
      <c r="AM31" s="246" t="str">
        <f t="shared" si="7"/>
        <v/>
      </c>
      <c r="AN31" s="97"/>
      <c r="AO31" s="253"/>
      <c r="AP31" s="253"/>
      <c r="AQ31" s="246" t="str">
        <f t="shared" si="8"/>
        <v/>
      </c>
      <c r="AR31" s="97"/>
      <c r="AS31" s="253"/>
      <c r="AT31" s="253"/>
      <c r="AU31" s="246" t="str">
        <f t="shared" si="9"/>
        <v/>
      </c>
      <c r="AV31" s="97"/>
      <c r="AW31" s="253"/>
      <c r="AX31" s="253"/>
      <c r="AY31" s="246" t="str">
        <f t="shared" si="10"/>
        <v/>
      </c>
      <c r="AZ31" s="97"/>
      <c r="BA31" s="253"/>
      <c r="BB31" s="253"/>
      <c r="BC31" s="246" t="str">
        <f t="shared" si="11"/>
        <v/>
      </c>
      <c r="BD31" s="97"/>
      <c r="BE31" s="253"/>
      <c r="BF31" s="253"/>
      <c r="BG31" s="246" t="str">
        <f t="shared" si="12"/>
        <v/>
      </c>
      <c r="BH31" s="97"/>
      <c r="BI31" s="253"/>
      <c r="BJ31" s="253"/>
      <c r="BK31" s="246" t="str">
        <f t="shared" si="13"/>
        <v/>
      </c>
      <c r="BL31" s="97"/>
      <c r="BM31" s="253"/>
      <c r="BN31" s="253"/>
      <c r="BO31" s="246" t="str">
        <f t="shared" si="14"/>
        <v/>
      </c>
      <c r="BP31" s="97"/>
      <c r="BQ31" s="253"/>
      <c r="BR31" s="253"/>
      <c r="BS31" s="246" t="str">
        <f t="shared" si="15"/>
        <v/>
      </c>
      <c r="BT31" s="97"/>
      <c r="BU31" s="253"/>
      <c r="BV31" s="253"/>
      <c r="BW31" s="246" t="str">
        <f t="shared" si="16"/>
        <v/>
      </c>
    </row>
    <row r="32" spans="1:75">
      <c r="A32" s="88">
        <v>26</v>
      </c>
      <c r="B32" s="50"/>
      <c r="C32" s="62" t="s">
        <v>714</v>
      </c>
      <c r="D32" s="260" t="s">
        <v>789</v>
      </c>
      <c r="E32" s="126" t="s">
        <v>747</v>
      </c>
      <c r="F32" s="261"/>
      <c r="G32" s="20" t="s">
        <v>824</v>
      </c>
      <c r="H32" s="20" t="s">
        <v>790</v>
      </c>
      <c r="I32" s="262" t="s">
        <v>759</v>
      </c>
      <c r="J32" s="246" t="str">
        <f t="shared" si="0"/>
        <v/>
      </c>
      <c r="K32" s="7"/>
      <c r="L32" s="97"/>
      <c r="M32" s="257"/>
      <c r="N32" s="253"/>
      <c r="O32" s="246" t="str">
        <f t="shared" si="1"/>
        <v/>
      </c>
      <c r="P32" s="97"/>
      <c r="Q32" s="253"/>
      <c r="R32" s="253"/>
      <c r="S32" s="246" t="str">
        <f t="shared" si="2"/>
        <v/>
      </c>
      <c r="T32" s="97"/>
      <c r="U32" s="253"/>
      <c r="V32" s="253"/>
      <c r="W32" s="246" t="str">
        <f t="shared" si="3"/>
        <v/>
      </c>
      <c r="X32" s="97"/>
      <c r="Y32" s="23"/>
      <c r="Z32" s="23"/>
      <c r="AA32" s="246" t="str">
        <f t="shared" si="4"/>
        <v/>
      </c>
      <c r="AB32" s="97"/>
      <c r="AC32" s="253"/>
      <c r="AD32" s="253"/>
      <c r="AE32" s="246" t="str">
        <f t="shared" si="5"/>
        <v/>
      </c>
      <c r="AF32" s="97"/>
      <c r="AG32" s="253"/>
      <c r="AH32" s="253"/>
      <c r="AI32" s="246" t="str">
        <f t="shared" si="6"/>
        <v/>
      </c>
      <c r="AJ32" s="97"/>
      <c r="AK32" s="253"/>
      <c r="AL32" s="253"/>
      <c r="AM32" s="246" t="str">
        <f t="shared" si="7"/>
        <v/>
      </c>
      <c r="AN32" s="97"/>
      <c r="AO32" s="253"/>
      <c r="AP32" s="253"/>
      <c r="AQ32" s="246" t="str">
        <f t="shared" si="8"/>
        <v/>
      </c>
      <c r="AR32" s="97"/>
      <c r="AS32" s="253"/>
      <c r="AT32" s="253"/>
      <c r="AU32" s="246" t="str">
        <f t="shared" si="9"/>
        <v/>
      </c>
      <c r="AV32" s="97"/>
      <c r="AW32" s="253"/>
      <c r="AX32" s="253"/>
      <c r="AY32" s="246" t="str">
        <f t="shared" si="10"/>
        <v/>
      </c>
      <c r="AZ32" s="97"/>
      <c r="BA32" s="253"/>
      <c r="BB32" s="253"/>
      <c r="BC32" s="246" t="str">
        <f t="shared" si="11"/>
        <v/>
      </c>
      <c r="BD32" s="97"/>
      <c r="BE32" s="253"/>
      <c r="BF32" s="253"/>
      <c r="BG32" s="246" t="str">
        <f t="shared" si="12"/>
        <v/>
      </c>
      <c r="BH32" s="97"/>
      <c r="BI32" s="253"/>
      <c r="BJ32" s="253"/>
      <c r="BK32" s="246" t="str">
        <f t="shared" si="13"/>
        <v/>
      </c>
      <c r="BL32" s="97"/>
      <c r="BM32" s="253"/>
      <c r="BN32" s="253"/>
      <c r="BO32" s="246" t="str">
        <f t="shared" si="14"/>
        <v/>
      </c>
      <c r="BP32" s="97"/>
      <c r="BQ32" s="253"/>
      <c r="BR32" s="253"/>
      <c r="BS32" s="246" t="str">
        <f t="shared" si="15"/>
        <v/>
      </c>
      <c r="BT32" s="97"/>
      <c r="BU32" s="253"/>
      <c r="BV32" s="253"/>
      <c r="BW32" s="246" t="str">
        <f t="shared" si="16"/>
        <v/>
      </c>
    </row>
    <row r="33" spans="1:75">
      <c r="A33" s="88">
        <v>27</v>
      </c>
      <c r="B33" s="50"/>
      <c r="C33" s="62" t="s">
        <v>715</v>
      </c>
      <c r="D33" s="260" t="s">
        <v>781</v>
      </c>
      <c r="E33" s="126" t="s">
        <v>748</v>
      </c>
      <c r="F33" s="261"/>
      <c r="G33" s="20" t="s">
        <v>825</v>
      </c>
      <c r="H33" s="20"/>
      <c r="I33" s="262" t="s">
        <v>767</v>
      </c>
      <c r="J33" s="246" t="str">
        <f t="shared" si="0"/>
        <v/>
      </c>
      <c r="K33" s="7"/>
      <c r="L33" s="97"/>
      <c r="M33" s="257"/>
      <c r="N33" s="253"/>
      <c r="O33" s="246" t="str">
        <f t="shared" si="1"/>
        <v/>
      </c>
      <c r="P33" s="97"/>
      <c r="Q33" s="253"/>
      <c r="R33" s="253"/>
      <c r="S33" s="246" t="str">
        <f t="shared" si="2"/>
        <v/>
      </c>
      <c r="T33" s="97"/>
      <c r="U33" s="253"/>
      <c r="V33" s="253"/>
      <c r="W33" s="246" t="str">
        <f t="shared" si="3"/>
        <v/>
      </c>
      <c r="X33" s="97"/>
      <c r="Y33" s="23"/>
      <c r="Z33" s="23"/>
      <c r="AA33" s="246" t="str">
        <f t="shared" si="4"/>
        <v/>
      </c>
      <c r="AB33" s="97"/>
      <c r="AC33" s="253"/>
      <c r="AD33" s="253"/>
      <c r="AE33" s="246" t="str">
        <f t="shared" si="5"/>
        <v/>
      </c>
      <c r="AF33" s="97"/>
      <c r="AG33" s="253"/>
      <c r="AH33" s="253"/>
      <c r="AI33" s="246" t="str">
        <f t="shared" si="6"/>
        <v/>
      </c>
      <c r="AJ33" s="97"/>
      <c r="AK33" s="253"/>
      <c r="AL33" s="253"/>
      <c r="AM33" s="246" t="str">
        <f t="shared" si="7"/>
        <v/>
      </c>
      <c r="AN33" s="97"/>
      <c r="AO33" s="253"/>
      <c r="AP33" s="253"/>
      <c r="AQ33" s="246" t="str">
        <f t="shared" si="8"/>
        <v/>
      </c>
      <c r="AR33" s="97"/>
      <c r="AS33" s="253"/>
      <c r="AT33" s="253"/>
      <c r="AU33" s="246" t="str">
        <f t="shared" si="9"/>
        <v/>
      </c>
      <c r="AV33" s="97"/>
      <c r="AW33" s="253"/>
      <c r="AX33" s="253"/>
      <c r="AY33" s="246" t="str">
        <f t="shared" si="10"/>
        <v/>
      </c>
      <c r="AZ33" s="97"/>
      <c r="BA33" s="253"/>
      <c r="BB33" s="253"/>
      <c r="BC33" s="246" t="str">
        <f t="shared" si="11"/>
        <v/>
      </c>
      <c r="BD33" s="97"/>
      <c r="BE33" s="253"/>
      <c r="BF33" s="253"/>
      <c r="BG33" s="246" t="str">
        <f t="shared" si="12"/>
        <v/>
      </c>
      <c r="BH33" s="97"/>
      <c r="BI33" s="253"/>
      <c r="BJ33" s="253"/>
      <c r="BK33" s="246" t="str">
        <f t="shared" si="13"/>
        <v/>
      </c>
      <c r="BL33" s="97"/>
      <c r="BM33" s="253"/>
      <c r="BN33" s="253"/>
      <c r="BO33" s="246" t="str">
        <f t="shared" si="14"/>
        <v/>
      </c>
      <c r="BP33" s="97"/>
      <c r="BQ33" s="253"/>
      <c r="BR33" s="253"/>
      <c r="BS33" s="246" t="str">
        <f t="shared" si="15"/>
        <v/>
      </c>
      <c r="BT33" s="97"/>
      <c r="BU33" s="253"/>
      <c r="BV33" s="253"/>
      <c r="BW33" s="246" t="str">
        <f t="shared" si="16"/>
        <v/>
      </c>
    </row>
    <row r="34" spans="1:75">
      <c r="A34" s="88">
        <v>28</v>
      </c>
      <c r="B34" s="50"/>
      <c r="C34" s="62" t="s">
        <v>716</v>
      </c>
      <c r="D34" s="260" t="s">
        <v>791</v>
      </c>
      <c r="E34" s="126" t="s">
        <v>732</v>
      </c>
      <c r="F34" s="261"/>
      <c r="G34" s="20" t="s">
        <v>815</v>
      </c>
      <c r="H34" s="20" t="s">
        <v>842</v>
      </c>
      <c r="I34" s="262" t="s">
        <v>759</v>
      </c>
      <c r="J34" s="246" t="str">
        <f t="shared" si="0"/>
        <v/>
      </c>
      <c r="K34" s="7"/>
      <c r="L34" s="97"/>
      <c r="M34" s="257"/>
      <c r="N34" s="253"/>
      <c r="O34" s="246" t="str">
        <f t="shared" si="1"/>
        <v/>
      </c>
      <c r="P34" s="97"/>
      <c r="Q34" s="253"/>
      <c r="R34" s="253"/>
      <c r="S34" s="246" t="str">
        <f t="shared" si="2"/>
        <v/>
      </c>
      <c r="T34" s="97"/>
      <c r="U34" s="253"/>
      <c r="V34" s="253"/>
      <c r="W34" s="246" t="str">
        <f t="shared" si="3"/>
        <v/>
      </c>
      <c r="X34" s="97"/>
      <c r="Y34" s="23"/>
      <c r="Z34" s="23"/>
      <c r="AA34" s="246" t="str">
        <f t="shared" si="4"/>
        <v/>
      </c>
      <c r="AB34" s="97"/>
      <c r="AC34" s="253"/>
      <c r="AD34" s="253"/>
      <c r="AE34" s="246" t="str">
        <f t="shared" si="5"/>
        <v/>
      </c>
      <c r="AF34" s="97"/>
      <c r="AG34" s="253"/>
      <c r="AH34" s="253"/>
      <c r="AI34" s="246" t="str">
        <f t="shared" si="6"/>
        <v/>
      </c>
      <c r="AJ34" s="97"/>
      <c r="AK34" s="253"/>
      <c r="AL34" s="253"/>
      <c r="AM34" s="246" t="str">
        <f t="shared" si="7"/>
        <v/>
      </c>
      <c r="AN34" s="97"/>
      <c r="AO34" s="253"/>
      <c r="AP34" s="253"/>
      <c r="AQ34" s="246" t="str">
        <f t="shared" si="8"/>
        <v/>
      </c>
      <c r="AR34" s="97"/>
      <c r="AS34" s="253"/>
      <c r="AT34" s="253"/>
      <c r="AU34" s="246" t="str">
        <f t="shared" si="9"/>
        <v/>
      </c>
      <c r="AV34" s="97"/>
      <c r="AW34" s="253"/>
      <c r="AX34" s="253"/>
      <c r="AY34" s="246" t="str">
        <f t="shared" si="10"/>
        <v/>
      </c>
      <c r="AZ34" s="97"/>
      <c r="BA34" s="253"/>
      <c r="BB34" s="253"/>
      <c r="BC34" s="246" t="str">
        <f t="shared" si="11"/>
        <v/>
      </c>
      <c r="BD34" s="97"/>
      <c r="BE34" s="253"/>
      <c r="BF34" s="253"/>
      <c r="BG34" s="246" t="str">
        <f t="shared" si="12"/>
        <v/>
      </c>
      <c r="BH34" s="97"/>
      <c r="BI34" s="253"/>
      <c r="BJ34" s="253"/>
      <c r="BK34" s="246" t="str">
        <f t="shared" si="13"/>
        <v/>
      </c>
      <c r="BL34" s="97"/>
      <c r="BM34" s="253"/>
      <c r="BN34" s="253"/>
      <c r="BO34" s="246" t="str">
        <f t="shared" si="14"/>
        <v/>
      </c>
      <c r="BP34" s="97"/>
      <c r="BQ34" s="253"/>
      <c r="BR34" s="253"/>
      <c r="BS34" s="246" t="str">
        <f t="shared" si="15"/>
        <v/>
      </c>
      <c r="BT34" s="97"/>
      <c r="BU34" s="253"/>
      <c r="BV34" s="253"/>
      <c r="BW34" s="246" t="str">
        <f t="shared" si="16"/>
        <v/>
      </c>
    </row>
    <row r="35" spans="1:75">
      <c r="A35" s="88">
        <v>29</v>
      </c>
      <c r="B35" s="50"/>
      <c r="C35" s="62" t="s">
        <v>716</v>
      </c>
      <c r="D35" s="260" t="s">
        <v>791</v>
      </c>
      <c r="E35" s="126" t="s">
        <v>732</v>
      </c>
      <c r="F35" s="261"/>
      <c r="G35" s="20" t="s">
        <v>815</v>
      </c>
      <c r="H35" s="20" t="s">
        <v>842</v>
      </c>
      <c r="I35" s="262" t="s">
        <v>759</v>
      </c>
      <c r="J35" s="246" t="str">
        <f t="shared" si="0"/>
        <v/>
      </c>
      <c r="K35" s="7"/>
      <c r="L35" s="97"/>
      <c r="M35" s="257"/>
      <c r="N35" s="253"/>
      <c r="O35" s="246" t="str">
        <f t="shared" si="1"/>
        <v/>
      </c>
      <c r="P35" s="97"/>
      <c r="Q35" s="253"/>
      <c r="R35" s="253"/>
      <c r="S35" s="246" t="str">
        <f t="shared" si="2"/>
        <v/>
      </c>
      <c r="T35" s="97"/>
      <c r="U35" s="253"/>
      <c r="V35" s="253"/>
      <c r="W35" s="246" t="str">
        <f t="shared" si="3"/>
        <v/>
      </c>
      <c r="X35" s="97"/>
      <c r="Y35" s="23"/>
      <c r="Z35" s="23"/>
      <c r="AA35" s="246" t="str">
        <f t="shared" si="4"/>
        <v/>
      </c>
      <c r="AB35" s="97"/>
      <c r="AC35" s="253"/>
      <c r="AD35" s="253"/>
      <c r="AE35" s="246" t="str">
        <f t="shared" si="5"/>
        <v/>
      </c>
      <c r="AF35" s="97"/>
      <c r="AG35" s="253"/>
      <c r="AH35" s="253"/>
      <c r="AI35" s="246" t="str">
        <f t="shared" si="6"/>
        <v/>
      </c>
      <c r="AJ35" s="97"/>
      <c r="AK35" s="253"/>
      <c r="AL35" s="253"/>
      <c r="AM35" s="246" t="str">
        <f t="shared" si="7"/>
        <v/>
      </c>
      <c r="AN35" s="97"/>
      <c r="AO35" s="253"/>
      <c r="AP35" s="253"/>
      <c r="AQ35" s="246" t="str">
        <f t="shared" si="8"/>
        <v/>
      </c>
      <c r="AR35" s="97"/>
      <c r="AS35" s="253"/>
      <c r="AT35" s="253"/>
      <c r="AU35" s="246" t="str">
        <f t="shared" si="9"/>
        <v/>
      </c>
      <c r="AV35" s="97"/>
      <c r="AW35" s="253"/>
      <c r="AX35" s="253"/>
      <c r="AY35" s="246" t="str">
        <f t="shared" si="10"/>
        <v/>
      </c>
      <c r="AZ35" s="97"/>
      <c r="BA35" s="253"/>
      <c r="BB35" s="253"/>
      <c r="BC35" s="246" t="str">
        <f t="shared" si="11"/>
        <v/>
      </c>
      <c r="BD35" s="97"/>
      <c r="BE35" s="253"/>
      <c r="BF35" s="253"/>
      <c r="BG35" s="246" t="str">
        <f t="shared" si="12"/>
        <v/>
      </c>
      <c r="BH35" s="97"/>
      <c r="BI35" s="253"/>
      <c r="BJ35" s="253"/>
      <c r="BK35" s="246" t="str">
        <f t="shared" si="13"/>
        <v/>
      </c>
      <c r="BL35" s="97"/>
      <c r="BM35" s="253"/>
      <c r="BN35" s="253"/>
      <c r="BO35" s="246" t="str">
        <f t="shared" si="14"/>
        <v/>
      </c>
      <c r="BP35" s="97"/>
      <c r="BQ35" s="253"/>
      <c r="BR35" s="253"/>
      <c r="BS35" s="246" t="str">
        <f t="shared" si="15"/>
        <v/>
      </c>
      <c r="BT35" s="97"/>
      <c r="BU35" s="253"/>
      <c r="BV35" s="253"/>
      <c r="BW35" s="246" t="str">
        <f t="shared" si="16"/>
        <v/>
      </c>
    </row>
    <row r="36" spans="1:75">
      <c r="A36" s="88">
        <v>30</v>
      </c>
      <c r="B36" s="50"/>
      <c r="C36" s="62" t="s">
        <v>717</v>
      </c>
      <c r="D36" s="260" t="s">
        <v>781</v>
      </c>
      <c r="E36" s="126" t="s">
        <v>729</v>
      </c>
      <c r="F36" s="261"/>
      <c r="G36" s="20" t="s">
        <v>815</v>
      </c>
      <c r="H36" s="20" t="s">
        <v>843</v>
      </c>
      <c r="I36" s="262" t="s">
        <v>759</v>
      </c>
      <c r="J36" s="246" t="str">
        <f t="shared" si="0"/>
        <v/>
      </c>
      <c r="K36" s="7"/>
      <c r="L36" s="97"/>
      <c r="M36" s="257"/>
      <c r="N36" s="253"/>
      <c r="O36" s="246" t="str">
        <f t="shared" si="1"/>
        <v/>
      </c>
      <c r="P36" s="97"/>
      <c r="Q36" s="253"/>
      <c r="R36" s="253"/>
      <c r="S36" s="246" t="str">
        <f t="shared" si="2"/>
        <v/>
      </c>
      <c r="T36" s="97"/>
      <c r="U36" s="253"/>
      <c r="V36" s="253"/>
      <c r="W36" s="246" t="str">
        <f t="shared" si="3"/>
        <v/>
      </c>
      <c r="X36" s="97"/>
      <c r="Y36" s="23"/>
      <c r="Z36" s="23"/>
      <c r="AA36" s="246" t="str">
        <f t="shared" si="4"/>
        <v/>
      </c>
      <c r="AB36" s="97"/>
      <c r="AC36" s="253"/>
      <c r="AD36" s="253"/>
      <c r="AE36" s="246" t="str">
        <f t="shared" si="5"/>
        <v/>
      </c>
      <c r="AF36" s="97"/>
      <c r="AG36" s="253"/>
      <c r="AH36" s="253"/>
      <c r="AI36" s="246" t="str">
        <f t="shared" si="6"/>
        <v/>
      </c>
      <c r="AJ36" s="97"/>
      <c r="AK36" s="253"/>
      <c r="AL36" s="253"/>
      <c r="AM36" s="246" t="str">
        <f t="shared" si="7"/>
        <v/>
      </c>
      <c r="AN36" s="97"/>
      <c r="AO36" s="253"/>
      <c r="AP36" s="253"/>
      <c r="AQ36" s="246" t="str">
        <f t="shared" si="8"/>
        <v/>
      </c>
      <c r="AR36" s="97"/>
      <c r="AS36" s="253"/>
      <c r="AT36" s="253"/>
      <c r="AU36" s="246" t="str">
        <f t="shared" si="9"/>
        <v/>
      </c>
      <c r="AV36" s="97"/>
      <c r="AW36" s="253"/>
      <c r="AX36" s="253"/>
      <c r="AY36" s="246" t="str">
        <f t="shared" si="10"/>
        <v/>
      </c>
      <c r="AZ36" s="97"/>
      <c r="BA36" s="253"/>
      <c r="BB36" s="253"/>
      <c r="BC36" s="246" t="str">
        <f t="shared" si="11"/>
        <v/>
      </c>
      <c r="BD36" s="97"/>
      <c r="BE36" s="253"/>
      <c r="BF36" s="253"/>
      <c r="BG36" s="246" t="str">
        <f t="shared" si="12"/>
        <v/>
      </c>
      <c r="BH36" s="97"/>
      <c r="BI36" s="253"/>
      <c r="BJ36" s="253"/>
      <c r="BK36" s="246" t="str">
        <f t="shared" si="13"/>
        <v/>
      </c>
      <c r="BL36" s="97"/>
      <c r="BM36" s="253"/>
      <c r="BN36" s="253"/>
      <c r="BO36" s="246" t="str">
        <f t="shared" si="14"/>
        <v/>
      </c>
      <c r="BP36" s="97"/>
      <c r="BQ36" s="253"/>
      <c r="BR36" s="253"/>
      <c r="BS36" s="246" t="str">
        <f t="shared" si="15"/>
        <v/>
      </c>
      <c r="BT36" s="97"/>
      <c r="BU36" s="253"/>
      <c r="BV36" s="253"/>
      <c r="BW36" s="246" t="str">
        <f t="shared" si="16"/>
        <v/>
      </c>
    </row>
    <row r="37" spans="1:75">
      <c r="A37" s="88">
        <v>31</v>
      </c>
      <c r="B37" s="50"/>
      <c r="C37" s="62" t="s">
        <v>716</v>
      </c>
      <c r="D37" s="260" t="s">
        <v>791</v>
      </c>
      <c r="E37" s="126" t="s">
        <v>732</v>
      </c>
      <c r="F37" s="261"/>
      <c r="G37" s="20" t="s">
        <v>826</v>
      </c>
      <c r="H37" s="20" t="s">
        <v>827</v>
      </c>
      <c r="I37" s="262" t="s">
        <v>759</v>
      </c>
      <c r="J37" s="246" t="str">
        <f t="shared" si="0"/>
        <v/>
      </c>
      <c r="K37" s="7"/>
      <c r="L37" s="97"/>
      <c r="M37" s="257"/>
      <c r="N37" s="253"/>
      <c r="O37" s="246" t="str">
        <f t="shared" si="1"/>
        <v/>
      </c>
      <c r="P37" s="97"/>
      <c r="Q37" s="253"/>
      <c r="R37" s="253"/>
      <c r="S37" s="246" t="str">
        <f t="shared" si="2"/>
        <v/>
      </c>
      <c r="T37" s="97"/>
      <c r="U37" s="253"/>
      <c r="V37" s="253"/>
      <c r="W37" s="246" t="str">
        <f t="shared" si="3"/>
        <v/>
      </c>
      <c r="X37" s="97"/>
      <c r="Y37" s="23"/>
      <c r="Z37" s="23"/>
      <c r="AA37" s="246" t="str">
        <f t="shared" si="4"/>
        <v/>
      </c>
      <c r="AB37" s="97"/>
      <c r="AC37" s="253"/>
      <c r="AD37" s="253"/>
      <c r="AE37" s="246" t="str">
        <f t="shared" si="5"/>
        <v/>
      </c>
      <c r="AF37" s="97"/>
      <c r="AG37" s="253"/>
      <c r="AH37" s="253"/>
      <c r="AI37" s="246" t="str">
        <f t="shared" si="6"/>
        <v/>
      </c>
      <c r="AJ37" s="97"/>
      <c r="AK37" s="253"/>
      <c r="AL37" s="253"/>
      <c r="AM37" s="246" t="str">
        <f t="shared" si="7"/>
        <v/>
      </c>
      <c r="AN37" s="97"/>
      <c r="AO37" s="253"/>
      <c r="AP37" s="253"/>
      <c r="AQ37" s="246" t="str">
        <f t="shared" si="8"/>
        <v/>
      </c>
      <c r="AR37" s="97"/>
      <c r="AS37" s="253"/>
      <c r="AT37" s="253"/>
      <c r="AU37" s="246" t="str">
        <f t="shared" si="9"/>
        <v/>
      </c>
      <c r="AV37" s="97"/>
      <c r="AW37" s="253"/>
      <c r="AX37" s="253"/>
      <c r="AY37" s="246" t="str">
        <f t="shared" si="10"/>
        <v/>
      </c>
      <c r="AZ37" s="97"/>
      <c r="BA37" s="253"/>
      <c r="BB37" s="253"/>
      <c r="BC37" s="246" t="str">
        <f t="shared" si="11"/>
        <v/>
      </c>
      <c r="BD37" s="97"/>
      <c r="BE37" s="253"/>
      <c r="BF37" s="253"/>
      <c r="BG37" s="246" t="str">
        <f t="shared" si="12"/>
        <v/>
      </c>
      <c r="BH37" s="97"/>
      <c r="BI37" s="253"/>
      <c r="BJ37" s="253"/>
      <c r="BK37" s="246" t="str">
        <f t="shared" si="13"/>
        <v/>
      </c>
      <c r="BL37" s="97"/>
      <c r="BM37" s="253"/>
      <c r="BN37" s="253"/>
      <c r="BO37" s="246" t="str">
        <f t="shared" si="14"/>
        <v/>
      </c>
      <c r="BP37" s="97"/>
      <c r="BQ37" s="253"/>
      <c r="BR37" s="253"/>
      <c r="BS37" s="246" t="str">
        <f t="shared" si="15"/>
        <v/>
      </c>
      <c r="BT37" s="97"/>
      <c r="BU37" s="253"/>
      <c r="BV37" s="253"/>
      <c r="BW37" s="246" t="str">
        <f t="shared" si="16"/>
        <v/>
      </c>
    </row>
    <row r="38" spans="1:75">
      <c r="A38" s="88">
        <v>32</v>
      </c>
      <c r="B38" s="50"/>
      <c r="C38" s="62" t="s">
        <v>716</v>
      </c>
      <c r="D38" s="260" t="s">
        <v>791</v>
      </c>
      <c r="E38" s="126" t="s">
        <v>749</v>
      </c>
      <c r="F38" s="261"/>
      <c r="G38" s="20" t="s">
        <v>815</v>
      </c>
      <c r="H38" s="20" t="s">
        <v>842</v>
      </c>
      <c r="I38" s="262" t="s">
        <v>759</v>
      </c>
      <c r="J38" s="246" t="str">
        <f t="shared" si="0"/>
        <v/>
      </c>
      <c r="K38" s="7"/>
      <c r="L38" s="97"/>
      <c r="M38" s="257"/>
      <c r="N38" s="253"/>
      <c r="O38" s="246" t="str">
        <f t="shared" si="1"/>
        <v/>
      </c>
      <c r="P38" s="97"/>
      <c r="Q38" s="253"/>
      <c r="R38" s="253"/>
      <c r="S38" s="246" t="str">
        <f t="shared" si="2"/>
        <v/>
      </c>
      <c r="T38" s="97"/>
      <c r="U38" s="253"/>
      <c r="V38" s="253"/>
      <c r="W38" s="246" t="str">
        <f t="shared" si="3"/>
        <v/>
      </c>
      <c r="X38" s="97"/>
      <c r="Y38" s="23"/>
      <c r="Z38" s="23"/>
      <c r="AA38" s="246" t="str">
        <f t="shared" si="4"/>
        <v/>
      </c>
      <c r="AB38" s="97"/>
      <c r="AC38" s="253"/>
      <c r="AD38" s="253"/>
      <c r="AE38" s="246" t="str">
        <f t="shared" si="5"/>
        <v/>
      </c>
      <c r="AF38" s="97"/>
      <c r="AG38" s="253"/>
      <c r="AH38" s="253"/>
      <c r="AI38" s="246" t="str">
        <f t="shared" si="6"/>
        <v/>
      </c>
      <c r="AJ38" s="97"/>
      <c r="AK38" s="253"/>
      <c r="AL38" s="253"/>
      <c r="AM38" s="246" t="str">
        <f t="shared" si="7"/>
        <v/>
      </c>
      <c r="AN38" s="97"/>
      <c r="AO38" s="253"/>
      <c r="AP38" s="253"/>
      <c r="AQ38" s="246" t="str">
        <f t="shared" si="8"/>
        <v/>
      </c>
      <c r="AR38" s="97"/>
      <c r="AS38" s="253"/>
      <c r="AT38" s="253"/>
      <c r="AU38" s="246" t="str">
        <f t="shared" si="9"/>
        <v/>
      </c>
      <c r="AV38" s="97"/>
      <c r="AW38" s="253"/>
      <c r="AX38" s="253"/>
      <c r="AY38" s="246" t="str">
        <f t="shared" si="10"/>
        <v/>
      </c>
      <c r="AZ38" s="97"/>
      <c r="BA38" s="253"/>
      <c r="BB38" s="253"/>
      <c r="BC38" s="246" t="str">
        <f t="shared" si="11"/>
        <v/>
      </c>
      <c r="BD38" s="97"/>
      <c r="BE38" s="253"/>
      <c r="BF38" s="253"/>
      <c r="BG38" s="246" t="str">
        <f t="shared" si="12"/>
        <v/>
      </c>
      <c r="BH38" s="97"/>
      <c r="BI38" s="253"/>
      <c r="BJ38" s="253"/>
      <c r="BK38" s="246" t="str">
        <f t="shared" si="13"/>
        <v/>
      </c>
      <c r="BL38" s="97"/>
      <c r="BM38" s="253"/>
      <c r="BN38" s="253"/>
      <c r="BO38" s="246" t="str">
        <f t="shared" si="14"/>
        <v/>
      </c>
      <c r="BP38" s="97"/>
      <c r="BQ38" s="253"/>
      <c r="BR38" s="253"/>
      <c r="BS38" s="246" t="str">
        <f t="shared" si="15"/>
        <v/>
      </c>
      <c r="BT38" s="97"/>
      <c r="BU38" s="253"/>
      <c r="BV38" s="253"/>
      <c r="BW38" s="246" t="str">
        <f t="shared" si="16"/>
        <v/>
      </c>
    </row>
    <row r="39" spans="1:75">
      <c r="A39" s="88">
        <v>33</v>
      </c>
      <c r="B39" s="50"/>
      <c r="C39" s="62" t="s">
        <v>716</v>
      </c>
      <c r="D39" s="260" t="s">
        <v>791</v>
      </c>
      <c r="E39" s="126" t="s">
        <v>732</v>
      </c>
      <c r="F39" s="261"/>
      <c r="G39" s="20" t="s">
        <v>826</v>
      </c>
      <c r="H39" s="20"/>
      <c r="I39" s="262" t="s">
        <v>759</v>
      </c>
      <c r="J39" s="246" t="str">
        <f t="shared" si="0"/>
        <v/>
      </c>
      <c r="K39" s="7"/>
      <c r="L39" s="97"/>
      <c r="M39" s="257"/>
      <c r="N39" s="253"/>
      <c r="O39" s="246" t="str">
        <f t="shared" si="1"/>
        <v/>
      </c>
      <c r="P39" s="97"/>
      <c r="Q39" s="253"/>
      <c r="R39" s="253"/>
      <c r="S39" s="246" t="str">
        <f t="shared" si="2"/>
        <v/>
      </c>
      <c r="T39" s="97"/>
      <c r="U39" s="253"/>
      <c r="V39" s="253"/>
      <c r="W39" s="246" t="str">
        <f t="shared" si="3"/>
        <v/>
      </c>
      <c r="X39" s="97"/>
      <c r="Y39" s="23"/>
      <c r="Z39" s="23"/>
      <c r="AA39" s="246" t="str">
        <f t="shared" si="4"/>
        <v/>
      </c>
      <c r="AB39" s="97"/>
      <c r="AC39" s="253"/>
      <c r="AD39" s="253"/>
      <c r="AE39" s="246" t="str">
        <f t="shared" si="5"/>
        <v/>
      </c>
      <c r="AF39" s="97"/>
      <c r="AG39" s="253"/>
      <c r="AH39" s="253"/>
      <c r="AI39" s="246" t="str">
        <f t="shared" si="6"/>
        <v/>
      </c>
      <c r="AJ39" s="97"/>
      <c r="AK39" s="253"/>
      <c r="AL39" s="253"/>
      <c r="AM39" s="246" t="str">
        <f t="shared" si="7"/>
        <v/>
      </c>
      <c r="AN39" s="97"/>
      <c r="AO39" s="253"/>
      <c r="AP39" s="253"/>
      <c r="AQ39" s="246" t="str">
        <f t="shared" si="8"/>
        <v/>
      </c>
      <c r="AR39" s="97"/>
      <c r="AS39" s="253"/>
      <c r="AT39" s="253"/>
      <c r="AU39" s="246" t="str">
        <f t="shared" si="9"/>
        <v/>
      </c>
      <c r="AV39" s="97"/>
      <c r="AW39" s="253"/>
      <c r="AX39" s="253"/>
      <c r="AY39" s="246" t="str">
        <f t="shared" si="10"/>
        <v/>
      </c>
      <c r="AZ39" s="97"/>
      <c r="BA39" s="253"/>
      <c r="BB39" s="253"/>
      <c r="BC39" s="246" t="str">
        <f t="shared" si="11"/>
        <v/>
      </c>
      <c r="BD39" s="97"/>
      <c r="BE39" s="253"/>
      <c r="BF39" s="253"/>
      <c r="BG39" s="246" t="str">
        <f t="shared" si="12"/>
        <v/>
      </c>
      <c r="BH39" s="97"/>
      <c r="BI39" s="253"/>
      <c r="BJ39" s="253"/>
      <c r="BK39" s="246" t="str">
        <f t="shared" si="13"/>
        <v/>
      </c>
      <c r="BL39" s="97"/>
      <c r="BM39" s="253"/>
      <c r="BN39" s="253"/>
      <c r="BO39" s="246" t="str">
        <f t="shared" si="14"/>
        <v/>
      </c>
      <c r="BP39" s="97"/>
      <c r="BQ39" s="253"/>
      <c r="BR39" s="253"/>
      <c r="BS39" s="246" t="str">
        <f t="shared" si="15"/>
        <v/>
      </c>
      <c r="BT39" s="97"/>
      <c r="BU39" s="253"/>
      <c r="BV39" s="253"/>
      <c r="BW39" s="246" t="str">
        <f t="shared" si="16"/>
        <v/>
      </c>
    </row>
    <row r="40" spans="1:75">
      <c r="A40" s="88">
        <v>34</v>
      </c>
      <c r="B40" s="50"/>
      <c r="C40" s="62" t="s">
        <v>718</v>
      </c>
      <c r="D40" s="260" t="s">
        <v>792</v>
      </c>
      <c r="E40" s="126" t="s">
        <v>750</v>
      </c>
      <c r="F40" s="261"/>
      <c r="G40" s="20" t="s">
        <v>828</v>
      </c>
      <c r="H40" s="20"/>
      <c r="I40" s="262" t="s">
        <v>766</v>
      </c>
      <c r="J40" s="246" t="str">
        <f t="shared" si="0"/>
        <v/>
      </c>
      <c r="K40" s="7"/>
      <c r="L40" s="97"/>
      <c r="M40" s="257"/>
      <c r="N40" s="253"/>
      <c r="O40" s="246" t="str">
        <f t="shared" si="1"/>
        <v/>
      </c>
      <c r="P40" s="97"/>
      <c r="Q40" s="253"/>
      <c r="R40" s="253"/>
      <c r="S40" s="246" t="str">
        <f t="shared" si="2"/>
        <v/>
      </c>
      <c r="T40" s="97"/>
      <c r="U40" s="253"/>
      <c r="V40" s="253"/>
      <c r="W40" s="246" t="str">
        <f t="shared" si="3"/>
        <v/>
      </c>
      <c r="X40" s="97"/>
      <c r="Y40" s="23"/>
      <c r="Z40" s="23"/>
      <c r="AA40" s="246" t="str">
        <f t="shared" si="4"/>
        <v/>
      </c>
      <c r="AB40" s="97"/>
      <c r="AC40" s="253"/>
      <c r="AD40" s="253"/>
      <c r="AE40" s="246" t="str">
        <f t="shared" si="5"/>
        <v/>
      </c>
      <c r="AF40" s="97"/>
      <c r="AG40" s="253"/>
      <c r="AH40" s="253"/>
      <c r="AI40" s="246" t="str">
        <f t="shared" si="6"/>
        <v/>
      </c>
      <c r="AJ40" s="97"/>
      <c r="AK40" s="253"/>
      <c r="AL40" s="253"/>
      <c r="AM40" s="246" t="str">
        <f t="shared" si="7"/>
        <v/>
      </c>
      <c r="AN40" s="97"/>
      <c r="AO40" s="253"/>
      <c r="AP40" s="253"/>
      <c r="AQ40" s="246" t="str">
        <f t="shared" si="8"/>
        <v/>
      </c>
      <c r="AR40" s="97"/>
      <c r="AS40" s="253"/>
      <c r="AT40" s="253"/>
      <c r="AU40" s="246" t="str">
        <f t="shared" si="9"/>
        <v/>
      </c>
      <c r="AV40" s="97"/>
      <c r="AW40" s="253"/>
      <c r="AX40" s="253"/>
      <c r="AY40" s="246" t="str">
        <f t="shared" si="10"/>
        <v/>
      </c>
      <c r="AZ40" s="97"/>
      <c r="BA40" s="253"/>
      <c r="BB40" s="253"/>
      <c r="BC40" s="246" t="str">
        <f t="shared" si="11"/>
        <v/>
      </c>
      <c r="BD40" s="97"/>
      <c r="BE40" s="253"/>
      <c r="BF40" s="253"/>
      <c r="BG40" s="246" t="str">
        <f t="shared" si="12"/>
        <v/>
      </c>
      <c r="BH40" s="97"/>
      <c r="BI40" s="253"/>
      <c r="BJ40" s="253"/>
      <c r="BK40" s="246" t="str">
        <f t="shared" si="13"/>
        <v/>
      </c>
      <c r="BL40" s="97"/>
      <c r="BM40" s="253"/>
      <c r="BN40" s="253"/>
      <c r="BO40" s="246" t="str">
        <f t="shared" si="14"/>
        <v/>
      </c>
      <c r="BP40" s="97"/>
      <c r="BQ40" s="253"/>
      <c r="BR40" s="253"/>
      <c r="BS40" s="246" t="str">
        <f t="shared" si="15"/>
        <v/>
      </c>
      <c r="BT40" s="97"/>
      <c r="BU40" s="253"/>
      <c r="BV40" s="253"/>
      <c r="BW40" s="246" t="str">
        <f t="shared" si="16"/>
        <v/>
      </c>
    </row>
    <row r="41" spans="1:75">
      <c r="A41" s="88">
        <v>35</v>
      </c>
      <c r="B41" s="50"/>
      <c r="C41" s="62" t="s">
        <v>719</v>
      </c>
      <c r="D41" s="260" t="s">
        <v>793</v>
      </c>
      <c r="E41" s="126" t="s">
        <v>751</v>
      </c>
      <c r="F41" s="261"/>
      <c r="G41" s="20" t="s">
        <v>829</v>
      </c>
      <c r="H41" s="20"/>
      <c r="I41" s="262" t="s">
        <v>768</v>
      </c>
      <c r="J41" s="246" t="str">
        <f t="shared" si="0"/>
        <v/>
      </c>
      <c r="K41" s="7"/>
      <c r="L41" s="97"/>
      <c r="M41" s="257"/>
      <c r="N41" s="253"/>
      <c r="O41" s="246" t="str">
        <f t="shared" si="1"/>
        <v/>
      </c>
      <c r="P41" s="97"/>
      <c r="Q41" s="253"/>
      <c r="R41" s="253"/>
      <c r="S41" s="246" t="str">
        <f t="shared" si="2"/>
        <v/>
      </c>
      <c r="T41" s="97"/>
      <c r="U41" s="253"/>
      <c r="V41" s="253"/>
      <c r="W41" s="246" t="str">
        <f t="shared" si="3"/>
        <v/>
      </c>
      <c r="X41" s="97"/>
      <c r="Y41" s="23"/>
      <c r="Z41" s="23"/>
      <c r="AA41" s="246" t="str">
        <f t="shared" si="4"/>
        <v/>
      </c>
      <c r="AB41" s="97"/>
      <c r="AC41" s="253"/>
      <c r="AD41" s="253"/>
      <c r="AE41" s="246" t="str">
        <f t="shared" si="5"/>
        <v/>
      </c>
      <c r="AF41" s="97"/>
      <c r="AG41" s="253"/>
      <c r="AH41" s="253"/>
      <c r="AI41" s="246" t="str">
        <f t="shared" si="6"/>
        <v/>
      </c>
      <c r="AJ41" s="97"/>
      <c r="AK41" s="253"/>
      <c r="AL41" s="253"/>
      <c r="AM41" s="246" t="str">
        <f t="shared" si="7"/>
        <v/>
      </c>
      <c r="AN41" s="97"/>
      <c r="AO41" s="253"/>
      <c r="AP41" s="253"/>
      <c r="AQ41" s="246" t="str">
        <f t="shared" si="8"/>
        <v/>
      </c>
      <c r="AR41" s="97"/>
      <c r="AS41" s="253"/>
      <c r="AT41" s="253"/>
      <c r="AU41" s="246" t="str">
        <f t="shared" si="9"/>
        <v/>
      </c>
      <c r="AV41" s="97"/>
      <c r="AW41" s="253"/>
      <c r="AX41" s="253"/>
      <c r="AY41" s="246" t="str">
        <f t="shared" si="10"/>
        <v/>
      </c>
      <c r="AZ41" s="97"/>
      <c r="BA41" s="253"/>
      <c r="BB41" s="253"/>
      <c r="BC41" s="246" t="str">
        <f t="shared" si="11"/>
        <v/>
      </c>
      <c r="BD41" s="97"/>
      <c r="BE41" s="253"/>
      <c r="BF41" s="253"/>
      <c r="BG41" s="246" t="str">
        <f t="shared" si="12"/>
        <v/>
      </c>
      <c r="BH41" s="97"/>
      <c r="BI41" s="253"/>
      <c r="BJ41" s="253"/>
      <c r="BK41" s="246" t="str">
        <f t="shared" si="13"/>
        <v/>
      </c>
      <c r="BL41" s="97"/>
      <c r="BM41" s="253"/>
      <c r="BN41" s="253"/>
      <c r="BO41" s="246" t="str">
        <f t="shared" si="14"/>
        <v/>
      </c>
      <c r="BP41" s="97"/>
      <c r="BQ41" s="253"/>
      <c r="BR41" s="253"/>
      <c r="BS41" s="246" t="str">
        <f t="shared" si="15"/>
        <v/>
      </c>
      <c r="BT41" s="97"/>
      <c r="BU41" s="253"/>
      <c r="BV41" s="253"/>
      <c r="BW41" s="246" t="str">
        <f t="shared" si="16"/>
        <v/>
      </c>
    </row>
    <row r="42" spans="1:75">
      <c r="A42" s="88">
        <v>36</v>
      </c>
      <c r="B42" s="50"/>
      <c r="C42" s="62" t="s">
        <v>720</v>
      </c>
      <c r="D42" s="260" t="s">
        <v>794</v>
      </c>
      <c r="E42" s="126" t="s">
        <v>733</v>
      </c>
      <c r="F42" s="261"/>
      <c r="G42" s="20" t="s">
        <v>815</v>
      </c>
      <c r="H42" s="20"/>
      <c r="I42" s="19" t="s">
        <v>760</v>
      </c>
      <c r="J42" s="246" t="str">
        <f t="shared" si="0"/>
        <v/>
      </c>
      <c r="K42" s="7"/>
      <c r="L42" s="97"/>
      <c r="M42" s="257"/>
      <c r="N42" s="253"/>
      <c r="O42" s="246" t="str">
        <f t="shared" si="1"/>
        <v/>
      </c>
      <c r="P42" s="97"/>
      <c r="Q42" s="253"/>
      <c r="R42" s="253"/>
      <c r="S42" s="246" t="str">
        <f t="shared" si="2"/>
        <v/>
      </c>
      <c r="T42" s="97"/>
      <c r="U42" s="253"/>
      <c r="V42" s="253"/>
      <c r="W42" s="246" t="str">
        <f t="shared" si="3"/>
        <v/>
      </c>
      <c r="X42" s="97"/>
      <c r="Y42" s="23"/>
      <c r="Z42" s="23"/>
      <c r="AA42" s="246" t="str">
        <f t="shared" si="4"/>
        <v/>
      </c>
      <c r="AB42" s="97"/>
      <c r="AC42" s="253"/>
      <c r="AD42" s="253"/>
      <c r="AE42" s="246" t="str">
        <f t="shared" si="5"/>
        <v/>
      </c>
      <c r="AF42" s="97"/>
      <c r="AG42" s="253"/>
      <c r="AH42" s="253"/>
      <c r="AI42" s="246" t="str">
        <f t="shared" si="6"/>
        <v/>
      </c>
      <c r="AJ42" s="97"/>
      <c r="AK42" s="253"/>
      <c r="AL42" s="253"/>
      <c r="AM42" s="246" t="str">
        <f t="shared" si="7"/>
        <v/>
      </c>
      <c r="AN42" s="97"/>
      <c r="AO42" s="253"/>
      <c r="AP42" s="253"/>
      <c r="AQ42" s="246" t="str">
        <f t="shared" si="8"/>
        <v/>
      </c>
      <c r="AR42" s="97"/>
      <c r="AS42" s="253"/>
      <c r="AT42" s="253"/>
      <c r="AU42" s="246" t="str">
        <f t="shared" si="9"/>
        <v/>
      </c>
      <c r="AV42" s="97"/>
      <c r="AW42" s="253"/>
      <c r="AX42" s="253"/>
      <c r="AY42" s="246" t="str">
        <f t="shared" si="10"/>
        <v/>
      </c>
      <c r="AZ42" s="97"/>
      <c r="BA42" s="253"/>
      <c r="BB42" s="253"/>
      <c r="BC42" s="246" t="str">
        <f t="shared" si="11"/>
        <v/>
      </c>
      <c r="BD42" s="97"/>
      <c r="BE42" s="253"/>
      <c r="BF42" s="253"/>
      <c r="BG42" s="246" t="str">
        <f t="shared" si="12"/>
        <v/>
      </c>
      <c r="BH42" s="97"/>
      <c r="BI42" s="253"/>
      <c r="BJ42" s="253"/>
      <c r="BK42" s="246" t="str">
        <f t="shared" si="13"/>
        <v/>
      </c>
      <c r="BL42" s="97"/>
      <c r="BM42" s="253"/>
      <c r="BN42" s="253"/>
      <c r="BO42" s="246" t="str">
        <f t="shared" si="14"/>
        <v/>
      </c>
      <c r="BP42" s="97"/>
      <c r="BQ42" s="253"/>
      <c r="BR42" s="253"/>
      <c r="BS42" s="246" t="str">
        <f t="shared" si="15"/>
        <v/>
      </c>
      <c r="BT42" s="97"/>
      <c r="BU42" s="253"/>
      <c r="BV42" s="253"/>
      <c r="BW42" s="246" t="str">
        <f t="shared" si="16"/>
        <v/>
      </c>
    </row>
    <row r="43" spans="1:75">
      <c r="A43" s="88">
        <v>37</v>
      </c>
      <c r="B43" s="50"/>
      <c r="C43" s="62" t="s">
        <v>721</v>
      </c>
      <c r="D43" s="260" t="s">
        <v>795</v>
      </c>
      <c r="E43" s="126" t="s">
        <v>752</v>
      </c>
      <c r="F43" s="261"/>
      <c r="G43" s="20" t="s">
        <v>830</v>
      </c>
      <c r="H43" s="20"/>
      <c r="I43" s="262" t="s">
        <v>769</v>
      </c>
      <c r="J43" s="246" t="str">
        <f t="shared" si="0"/>
        <v/>
      </c>
      <c r="K43" s="7"/>
      <c r="L43" s="97"/>
      <c r="M43" s="257"/>
      <c r="N43" s="253"/>
      <c r="O43" s="246" t="str">
        <f t="shared" si="1"/>
        <v/>
      </c>
      <c r="P43" s="97"/>
      <c r="Q43" s="253"/>
      <c r="R43" s="253"/>
      <c r="S43" s="246" t="str">
        <f t="shared" si="2"/>
        <v/>
      </c>
      <c r="T43" s="97"/>
      <c r="U43" s="253"/>
      <c r="V43" s="253"/>
      <c r="W43" s="246" t="str">
        <f t="shared" si="3"/>
        <v/>
      </c>
      <c r="X43" s="97"/>
      <c r="Y43" s="23"/>
      <c r="Z43" s="23"/>
      <c r="AA43" s="246" t="str">
        <f t="shared" si="4"/>
        <v/>
      </c>
      <c r="AB43" s="97"/>
      <c r="AC43" s="253"/>
      <c r="AD43" s="253"/>
      <c r="AE43" s="246" t="str">
        <f t="shared" si="5"/>
        <v/>
      </c>
      <c r="AF43" s="97"/>
      <c r="AG43" s="253"/>
      <c r="AH43" s="253"/>
      <c r="AI43" s="246" t="str">
        <f t="shared" si="6"/>
        <v/>
      </c>
      <c r="AJ43" s="97"/>
      <c r="AK43" s="253"/>
      <c r="AL43" s="253"/>
      <c r="AM43" s="246" t="str">
        <f t="shared" si="7"/>
        <v/>
      </c>
      <c r="AN43" s="97"/>
      <c r="AO43" s="253"/>
      <c r="AP43" s="253"/>
      <c r="AQ43" s="246" t="str">
        <f t="shared" si="8"/>
        <v/>
      </c>
      <c r="AR43" s="97"/>
      <c r="AS43" s="253"/>
      <c r="AT43" s="253"/>
      <c r="AU43" s="246" t="str">
        <f t="shared" si="9"/>
        <v/>
      </c>
      <c r="AV43" s="97"/>
      <c r="AW43" s="253"/>
      <c r="AX43" s="253"/>
      <c r="AY43" s="246" t="str">
        <f t="shared" si="10"/>
        <v/>
      </c>
      <c r="AZ43" s="97"/>
      <c r="BA43" s="253"/>
      <c r="BB43" s="253"/>
      <c r="BC43" s="246" t="str">
        <f t="shared" si="11"/>
        <v/>
      </c>
      <c r="BD43" s="97"/>
      <c r="BE43" s="253"/>
      <c r="BF43" s="253"/>
      <c r="BG43" s="246" t="str">
        <f t="shared" si="12"/>
        <v/>
      </c>
      <c r="BH43" s="97"/>
      <c r="BI43" s="253"/>
      <c r="BJ43" s="253"/>
      <c r="BK43" s="246" t="str">
        <f t="shared" si="13"/>
        <v/>
      </c>
      <c r="BL43" s="97"/>
      <c r="BM43" s="253"/>
      <c r="BN43" s="253"/>
      <c r="BO43" s="246" t="str">
        <f t="shared" si="14"/>
        <v/>
      </c>
      <c r="BP43" s="97"/>
      <c r="BQ43" s="253"/>
      <c r="BR43" s="253"/>
      <c r="BS43" s="246" t="str">
        <f t="shared" si="15"/>
        <v/>
      </c>
      <c r="BT43" s="97"/>
      <c r="BU43" s="253"/>
      <c r="BV43" s="253"/>
      <c r="BW43" s="246" t="str">
        <f t="shared" si="16"/>
        <v/>
      </c>
    </row>
    <row r="44" spans="1:75">
      <c r="A44" s="88">
        <v>38</v>
      </c>
      <c r="B44" s="50"/>
      <c r="C44" s="62" t="s">
        <v>722</v>
      </c>
      <c r="D44" s="260" t="s">
        <v>796</v>
      </c>
      <c r="E44" s="126" t="s">
        <v>753</v>
      </c>
      <c r="F44" s="261" t="s">
        <v>821</v>
      </c>
      <c r="G44" s="20" t="s">
        <v>831</v>
      </c>
      <c r="H44" s="20"/>
      <c r="I44" s="262" t="s">
        <v>769</v>
      </c>
      <c r="J44" s="246" t="str">
        <f t="shared" si="0"/>
        <v/>
      </c>
      <c r="K44" s="7"/>
      <c r="L44" s="97"/>
      <c r="M44" s="257"/>
      <c r="N44" s="253"/>
      <c r="O44" s="246" t="str">
        <f t="shared" si="1"/>
        <v/>
      </c>
      <c r="P44" s="97"/>
      <c r="Q44" s="253"/>
      <c r="R44" s="253"/>
      <c r="S44" s="246" t="str">
        <f t="shared" si="2"/>
        <v/>
      </c>
      <c r="T44" s="97"/>
      <c r="U44" s="253"/>
      <c r="V44" s="253"/>
      <c r="W44" s="246" t="str">
        <f t="shared" si="3"/>
        <v/>
      </c>
      <c r="X44" s="97"/>
      <c r="Y44" s="23"/>
      <c r="Z44" s="23"/>
      <c r="AA44" s="246" t="str">
        <f t="shared" si="4"/>
        <v/>
      </c>
      <c r="AB44" s="97"/>
      <c r="AC44" s="253"/>
      <c r="AD44" s="253"/>
      <c r="AE44" s="246" t="str">
        <f t="shared" si="5"/>
        <v/>
      </c>
      <c r="AF44" s="97"/>
      <c r="AG44" s="253"/>
      <c r="AH44" s="253"/>
      <c r="AI44" s="246" t="str">
        <f t="shared" si="6"/>
        <v/>
      </c>
      <c r="AJ44" s="97"/>
      <c r="AK44" s="253"/>
      <c r="AL44" s="253"/>
      <c r="AM44" s="246" t="str">
        <f t="shared" si="7"/>
        <v/>
      </c>
      <c r="AN44" s="97"/>
      <c r="AO44" s="253"/>
      <c r="AP44" s="253"/>
      <c r="AQ44" s="246" t="str">
        <f t="shared" si="8"/>
        <v/>
      </c>
      <c r="AR44" s="97"/>
      <c r="AS44" s="253"/>
      <c r="AT44" s="253"/>
      <c r="AU44" s="246" t="str">
        <f t="shared" si="9"/>
        <v/>
      </c>
      <c r="AV44" s="97"/>
      <c r="AW44" s="253"/>
      <c r="AX44" s="253"/>
      <c r="AY44" s="246" t="str">
        <f t="shared" si="10"/>
        <v/>
      </c>
      <c r="AZ44" s="97"/>
      <c r="BA44" s="253"/>
      <c r="BB44" s="253"/>
      <c r="BC44" s="246" t="str">
        <f t="shared" si="11"/>
        <v/>
      </c>
      <c r="BD44" s="97"/>
      <c r="BE44" s="253"/>
      <c r="BF44" s="253"/>
      <c r="BG44" s="246" t="str">
        <f t="shared" si="12"/>
        <v/>
      </c>
      <c r="BH44" s="97"/>
      <c r="BI44" s="253"/>
      <c r="BJ44" s="253"/>
      <c r="BK44" s="246" t="str">
        <f t="shared" si="13"/>
        <v/>
      </c>
      <c r="BL44" s="97"/>
      <c r="BM44" s="253"/>
      <c r="BN44" s="253"/>
      <c r="BO44" s="246" t="str">
        <f t="shared" si="14"/>
        <v/>
      </c>
      <c r="BP44" s="97"/>
      <c r="BQ44" s="253"/>
      <c r="BR44" s="253"/>
      <c r="BS44" s="246" t="str">
        <f t="shared" si="15"/>
        <v/>
      </c>
      <c r="BT44" s="97"/>
      <c r="BU44" s="253"/>
      <c r="BV44" s="253"/>
      <c r="BW44" s="246" t="str">
        <f t="shared" si="16"/>
        <v/>
      </c>
    </row>
    <row r="45" spans="1:75">
      <c r="A45" s="88">
        <v>39</v>
      </c>
      <c r="B45" s="50" t="s">
        <v>776</v>
      </c>
      <c r="C45" s="62" t="s">
        <v>723</v>
      </c>
      <c r="D45" s="260"/>
      <c r="E45" s="126" t="s">
        <v>729</v>
      </c>
      <c r="F45" s="263"/>
      <c r="G45" s="20"/>
      <c r="H45" s="20" t="s">
        <v>840</v>
      </c>
      <c r="I45" s="262" t="s">
        <v>770</v>
      </c>
      <c r="J45" s="246" t="str">
        <f t="shared" si="0"/>
        <v/>
      </c>
      <c r="K45" s="7"/>
      <c r="L45" s="97"/>
      <c r="M45" s="257"/>
      <c r="N45" s="253"/>
      <c r="O45" s="246" t="str">
        <f t="shared" si="1"/>
        <v/>
      </c>
      <c r="P45" s="97"/>
      <c r="Q45" s="253"/>
      <c r="R45" s="253"/>
      <c r="S45" s="246" t="str">
        <f t="shared" si="2"/>
        <v/>
      </c>
      <c r="T45" s="97"/>
      <c r="U45" s="253"/>
      <c r="V45" s="253"/>
      <c r="W45" s="246" t="str">
        <f t="shared" si="3"/>
        <v/>
      </c>
      <c r="X45" s="97"/>
      <c r="Y45" s="23"/>
      <c r="Z45" s="23"/>
      <c r="AA45" s="246" t="str">
        <f t="shared" si="4"/>
        <v/>
      </c>
      <c r="AB45" s="97"/>
      <c r="AC45" s="253"/>
      <c r="AD45" s="253"/>
      <c r="AE45" s="246" t="str">
        <f t="shared" si="5"/>
        <v/>
      </c>
      <c r="AF45" s="97"/>
      <c r="AG45" s="253"/>
      <c r="AH45" s="253"/>
      <c r="AI45" s="246" t="str">
        <f t="shared" si="6"/>
        <v/>
      </c>
      <c r="AJ45" s="97"/>
      <c r="AK45" s="253"/>
      <c r="AL45" s="253"/>
      <c r="AM45" s="246" t="str">
        <f t="shared" si="7"/>
        <v/>
      </c>
      <c r="AN45" s="97"/>
      <c r="AO45" s="253"/>
      <c r="AP45" s="253"/>
      <c r="AQ45" s="246" t="str">
        <f t="shared" si="8"/>
        <v/>
      </c>
      <c r="AR45" s="97"/>
      <c r="AS45" s="253"/>
      <c r="AT45" s="253"/>
      <c r="AU45" s="246" t="str">
        <f t="shared" si="9"/>
        <v/>
      </c>
      <c r="AV45" s="97"/>
      <c r="AW45" s="253"/>
      <c r="AX45" s="253"/>
      <c r="AY45" s="246" t="str">
        <f t="shared" si="10"/>
        <v/>
      </c>
      <c r="AZ45" s="97"/>
      <c r="BA45" s="253"/>
      <c r="BB45" s="253"/>
      <c r="BC45" s="246" t="str">
        <f t="shared" si="11"/>
        <v/>
      </c>
      <c r="BD45" s="97"/>
      <c r="BE45" s="253"/>
      <c r="BF45" s="253"/>
      <c r="BG45" s="246" t="str">
        <f t="shared" si="12"/>
        <v/>
      </c>
      <c r="BH45" s="97"/>
      <c r="BI45" s="253"/>
      <c r="BJ45" s="253"/>
      <c r="BK45" s="246" t="str">
        <f t="shared" si="13"/>
        <v/>
      </c>
      <c r="BL45" s="97"/>
      <c r="BM45" s="253"/>
      <c r="BN45" s="253"/>
      <c r="BO45" s="246" t="str">
        <f t="shared" si="14"/>
        <v/>
      </c>
      <c r="BP45" s="97"/>
      <c r="BQ45" s="253"/>
      <c r="BR45" s="253"/>
      <c r="BS45" s="246" t="str">
        <f t="shared" si="15"/>
        <v/>
      </c>
      <c r="BT45" s="97"/>
      <c r="BU45" s="253"/>
      <c r="BV45" s="253"/>
      <c r="BW45" s="246" t="str">
        <f t="shared" si="16"/>
        <v/>
      </c>
    </row>
    <row r="46" spans="1:75">
      <c r="A46" s="88">
        <v>40</v>
      </c>
      <c r="B46" s="50"/>
      <c r="C46" s="62" t="s">
        <v>724</v>
      </c>
      <c r="D46" s="260" t="s">
        <v>797</v>
      </c>
      <c r="E46" s="126" t="s">
        <v>754</v>
      </c>
      <c r="F46" s="261"/>
      <c r="G46" s="20" t="s">
        <v>813</v>
      </c>
      <c r="H46" s="20"/>
      <c r="I46" s="262" t="s">
        <v>771</v>
      </c>
      <c r="J46" s="246" t="str">
        <f t="shared" si="0"/>
        <v/>
      </c>
      <c r="K46" s="7"/>
      <c r="L46" s="97"/>
      <c r="M46" s="257"/>
      <c r="N46" s="253"/>
      <c r="O46" s="246" t="str">
        <f t="shared" si="1"/>
        <v/>
      </c>
      <c r="P46" s="97"/>
      <c r="Q46" s="253"/>
      <c r="R46" s="253"/>
      <c r="S46" s="246" t="str">
        <f t="shared" si="2"/>
        <v/>
      </c>
      <c r="T46" s="97"/>
      <c r="U46" s="253"/>
      <c r="V46" s="253"/>
      <c r="W46" s="246" t="str">
        <f t="shared" si="3"/>
        <v/>
      </c>
      <c r="X46" s="97"/>
      <c r="Y46" s="23"/>
      <c r="Z46" s="23"/>
      <c r="AA46" s="246" t="str">
        <f t="shared" si="4"/>
        <v/>
      </c>
      <c r="AB46" s="97"/>
      <c r="AC46" s="253"/>
      <c r="AD46" s="253"/>
      <c r="AE46" s="246" t="str">
        <f t="shared" si="5"/>
        <v/>
      </c>
      <c r="AF46" s="97"/>
      <c r="AG46" s="253"/>
      <c r="AH46" s="253"/>
      <c r="AI46" s="246" t="str">
        <f t="shared" si="6"/>
        <v/>
      </c>
      <c r="AJ46" s="97"/>
      <c r="AK46" s="253"/>
      <c r="AL46" s="253"/>
      <c r="AM46" s="246" t="str">
        <f t="shared" si="7"/>
        <v/>
      </c>
      <c r="AN46" s="97"/>
      <c r="AO46" s="253"/>
      <c r="AP46" s="253"/>
      <c r="AQ46" s="246" t="str">
        <f t="shared" si="8"/>
        <v/>
      </c>
      <c r="AR46" s="97"/>
      <c r="AS46" s="253"/>
      <c r="AT46" s="253"/>
      <c r="AU46" s="246" t="str">
        <f t="shared" si="9"/>
        <v/>
      </c>
      <c r="AV46" s="97"/>
      <c r="AW46" s="253"/>
      <c r="AX46" s="253"/>
      <c r="AY46" s="246" t="str">
        <f t="shared" si="10"/>
        <v/>
      </c>
      <c r="AZ46" s="97"/>
      <c r="BA46" s="253"/>
      <c r="BB46" s="253"/>
      <c r="BC46" s="246" t="str">
        <f t="shared" si="11"/>
        <v/>
      </c>
      <c r="BD46" s="97"/>
      <c r="BE46" s="253"/>
      <c r="BF46" s="253"/>
      <c r="BG46" s="246" t="str">
        <f t="shared" si="12"/>
        <v/>
      </c>
      <c r="BH46" s="97"/>
      <c r="BI46" s="253"/>
      <c r="BJ46" s="253"/>
      <c r="BK46" s="246" t="str">
        <f t="shared" si="13"/>
        <v/>
      </c>
      <c r="BL46" s="97"/>
      <c r="BM46" s="253"/>
      <c r="BN46" s="253"/>
      <c r="BO46" s="246" t="str">
        <f t="shared" si="14"/>
        <v/>
      </c>
      <c r="BP46" s="97"/>
      <c r="BQ46" s="253"/>
      <c r="BR46" s="253"/>
      <c r="BS46" s="246" t="str">
        <f t="shared" si="15"/>
        <v/>
      </c>
      <c r="BT46" s="97"/>
      <c r="BU46" s="253"/>
      <c r="BV46" s="253"/>
      <c r="BW46" s="246" t="str">
        <f t="shared" si="16"/>
        <v/>
      </c>
    </row>
    <row r="47" spans="1:75">
      <c r="A47" s="88">
        <v>41</v>
      </c>
      <c r="B47" s="50"/>
      <c r="C47" s="62" t="s">
        <v>725</v>
      </c>
      <c r="D47" s="260" t="s">
        <v>798</v>
      </c>
      <c r="E47" s="126" t="s">
        <v>729</v>
      </c>
      <c r="F47" s="261"/>
      <c r="G47" s="20" t="s">
        <v>815</v>
      </c>
      <c r="H47" s="20" t="s">
        <v>840</v>
      </c>
      <c r="I47" s="19" t="s">
        <v>759</v>
      </c>
      <c r="J47" s="246" t="str">
        <f t="shared" si="0"/>
        <v/>
      </c>
      <c r="K47" s="7"/>
      <c r="L47" s="97"/>
      <c r="M47" s="257"/>
      <c r="N47" s="253"/>
      <c r="O47" s="246" t="str">
        <f t="shared" si="1"/>
        <v/>
      </c>
      <c r="P47" s="97"/>
      <c r="Q47" s="253"/>
      <c r="R47" s="253"/>
      <c r="S47" s="246" t="str">
        <f t="shared" si="2"/>
        <v/>
      </c>
      <c r="T47" s="97"/>
      <c r="U47" s="253"/>
      <c r="V47" s="253"/>
      <c r="W47" s="246" t="str">
        <f t="shared" si="3"/>
        <v/>
      </c>
      <c r="X47" s="97"/>
      <c r="Y47" s="23"/>
      <c r="Z47" s="23"/>
      <c r="AA47" s="246" t="str">
        <f t="shared" si="4"/>
        <v/>
      </c>
      <c r="AB47" s="97"/>
      <c r="AC47" s="253"/>
      <c r="AD47" s="253"/>
      <c r="AE47" s="246" t="str">
        <f t="shared" si="5"/>
        <v/>
      </c>
      <c r="AF47" s="97"/>
      <c r="AG47" s="253"/>
      <c r="AH47" s="253"/>
      <c r="AI47" s="246" t="str">
        <f t="shared" si="6"/>
        <v/>
      </c>
      <c r="AJ47" s="97"/>
      <c r="AK47" s="253"/>
      <c r="AL47" s="253"/>
      <c r="AM47" s="246" t="str">
        <f t="shared" si="7"/>
        <v/>
      </c>
      <c r="AN47" s="97"/>
      <c r="AO47" s="253"/>
      <c r="AP47" s="253"/>
      <c r="AQ47" s="246" t="str">
        <f t="shared" si="8"/>
        <v/>
      </c>
      <c r="AR47" s="97"/>
      <c r="AS47" s="253"/>
      <c r="AT47" s="253"/>
      <c r="AU47" s="246" t="str">
        <f t="shared" si="9"/>
        <v/>
      </c>
      <c r="AV47" s="97"/>
      <c r="AW47" s="253"/>
      <c r="AX47" s="253"/>
      <c r="AY47" s="246" t="str">
        <f t="shared" si="10"/>
        <v/>
      </c>
      <c r="AZ47" s="97"/>
      <c r="BA47" s="253"/>
      <c r="BB47" s="253"/>
      <c r="BC47" s="246" t="str">
        <f t="shared" si="11"/>
        <v/>
      </c>
      <c r="BD47" s="97"/>
      <c r="BE47" s="253"/>
      <c r="BF47" s="253"/>
      <c r="BG47" s="246" t="str">
        <f t="shared" si="12"/>
        <v/>
      </c>
      <c r="BH47" s="97"/>
      <c r="BI47" s="253"/>
      <c r="BJ47" s="253"/>
      <c r="BK47" s="246" t="str">
        <f t="shared" si="13"/>
        <v/>
      </c>
      <c r="BL47" s="97"/>
      <c r="BM47" s="253"/>
      <c r="BN47" s="253"/>
      <c r="BO47" s="246" t="str">
        <f t="shared" si="14"/>
        <v/>
      </c>
      <c r="BP47" s="97"/>
      <c r="BQ47" s="253"/>
      <c r="BR47" s="253"/>
      <c r="BS47" s="246" t="str">
        <f t="shared" si="15"/>
        <v/>
      </c>
      <c r="BT47" s="97"/>
      <c r="BU47" s="253"/>
      <c r="BV47" s="253"/>
      <c r="BW47" s="246" t="str">
        <f t="shared" si="16"/>
        <v/>
      </c>
    </row>
    <row r="48" spans="1:75">
      <c r="A48" s="88">
        <v>42</v>
      </c>
      <c r="B48" s="50"/>
      <c r="C48" s="62" t="s">
        <v>725</v>
      </c>
      <c r="D48" s="260" t="s">
        <v>798</v>
      </c>
      <c r="E48" s="126" t="s">
        <v>749</v>
      </c>
      <c r="F48" s="261"/>
      <c r="G48" s="20" t="s">
        <v>815</v>
      </c>
      <c r="H48" s="20" t="s">
        <v>840</v>
      </c>
      <c r="I48" s="19" t="s">
        <v>759</v>
      </c>
      <c r="J48" s="246" t="str">
        <f t="shared" si="0"/>
        <v/>
      </c>
      <c r="K48" s="7"/>
      <c r="L48" s="97"/>
      <c r="M48" s="257"/>
      <c r="N48" s="253"/>
      <c r="O48" s="246" t="str">
        <f t="shared" si="1"/>
        <v/>
      </c>
      <c r="P48" s="97"/>
      <c r="Q48" s="253"/>
      <c r="R48" s="253"/>
      <c r="S48" s="246" t="str">
        <f t="shared" si="2"/>
        <v/>
      </c>
      <c r="T48" s="97"/>
      <c r="U48" s="253"/>
      <c r="V48" s="253"/>
      <c r="W48" s="246" t="str">
        <f t="shared" si="3"/>
        <v/>
      </c>
      <c r="X48" s="97"/>
      <c r="Y48" s="23"/>
      <c r="Z48" s="23"/>
      <c r="AA48" s="246" t="str">
        <f t="shared" si="4"/>
        <v/>
      </c>
      <c r="AB48" s="97"/>
      <c r="AC48" s="253"/>
      <c r="AD48" s="253"/>
      <c r="AE48" s="246" t="str">
        <f t="shared" si="5"/>
        <v/>
      </c>
      <c r="AF48" s="97"/>
      <c r="AG48" s="253"/>
      <c r="AH48" s="253"/>
      <c r="AI48" s="246" t="str">
        <f t="shared" si="6"/>
        <v/>
      </c>
      <c r="AJ48" s="97"/>
      <c r="AK48" s="253"/>
      <c r="AL48" s="253"/>
      <c r="AM48" s="246" t="str">
        <f t="shared" si="7"/>
        <v/>
      </c>
      <c r="AN48" s="97"/>
      <c r="AO48" s="253"/>
      <c r="AP48" s="253"/>
      <c r="AQ48" s="246" t="str">
        <f t="shared" si="8"/>
        <v/>
      </c>
      <c r="AR48" s="97"/>
      <c r="AS48" s="253"/>
      <c r="AT48" s="253"/>
      <c r="AU48" s="246" t="str">
        <f t="shared" si="9"/>
        <v/>
      </c>
      <c r="AV48" s="97"/>
      <c r="AW48" s="253"/>
      <c r="AX48" s="253"/>
      <c r="AY48" s="246" t="str">
        <f t="shared" si="10"/>
        <v/>
      </c>
      <c r="AZ48" s="97"/>
      <c r="BA48" s="253"/>
      <c r="BB48" s="253"/>
      <c r="BC48" s="246" t="str">
        <f t="shared" si="11"/>
        <v/>
      </c>
      <c r="BD48" s="97"/>
      <c r="BE48" s="253"/>
      <c r="BF48" s="253"/>
      <c r="BG48" s="246" t="str">
        <f t="shared" si="12"/>
        <v/>
      </c>
      <c r="BH48" s="97"/>
      <c r="BI48" s="253"/>
      <c r="BJ48" s="253"/>
      <c r="BK48" s="246" t="str">
        <f t="shared" si="13"/>
        <v/>
      </c>
      <c r="BL48" s="97"/>
      <c r="BM48" s="253"/>
      <c r="BN48" s="253"/>
      <c r="BO48" s="246" t="str">
        <f t="shared" si="14"/>
        <v/>
      </c>
      <c r="BP48" s="97"/>
      <c r="BQ48" s="253"/>
      <c r="BR48" s="253"/>
      <c r="BS48" s="246" t="str">
        <f t="shared" si="15"/>
        <v/>
      </c>
      <c r="BT48" s="97"/>
      <c r="BU48" s="253"/>
      <c r="BV48" s="253"/>
      <c r="BW48" s="246" t="str">
        <f t="shared" si="16"/>
        <v/>
      </c>
    </row>
    <row r="49" spans="1:75">
      <c r="A49" s="88">
        <v>43</v>
      </c>
      <c r="B49" s="50"/>
      <c r="C49" s="62" t="s">
        <v>726</v>
      </c>
      <c r="D49" s="260"/>
      <c r="E49" s="126" t="s">
        <v>750</v>
      </c>
      <c r="F49" s="261"/>
      <c r="G49" s="20" t="s">
        <v>841</v>
      </c>
      <c r="H49" s="20" t="s">
        <v>840</v>
      </c>
      <c r="I49" s="262" t="s">
        <v>766</v>
      </c>
      <c r="J49" s="246" t="str">
        <f t="shared" si="0"/>
        <v/>
      </c>
      <c r="K49" s="7"/>
      <c r="L49" s="97"/>
      <c r="M49" s="257"/>
      <c r="N49" s="253"/>
      <c r="O49" s="246" t="str">
        <f t="shared" si="1"/>
        <v/>
      </c>
      <c r="P49" s="97"/>
      <c r="Q49" s="253"/>
      <c r="R49" s="253"/>
      <c r="S49" s="246" t="str">
        <f t="shared" si="2"/>
        <v/>
      </c>
      <c r="T49" s="97"/>
      <c r="U49" s="253"/>
      <c r="V49" s="253"/>
      <c r="W49" s="246" t="str">
        <f t="shared" si="3"/>
        <v/>
      </c>
      <c r="X49" s="97"/>
      <c r="Y49" s="23"/>
      <c r="Z49" s="23"/>
      <c r="AA49" s="246" t="str">
        <f t="shared" si="4"/>
        <v/>
      </c>
      <c r="AB49" s="97"/>
      <c r="AC49" s="253"/>
      <c r="AD49" s="253"/>
      <c r="AE49" s="246" t="str">
        <f t="shared" si="5"/>
        <v/>
      </c>
      <c r="AF49" s="97"/>
      <c r="AG49" s="253"/>
      <c r="AH49" s="253"/>
      <c r="AI49" s="246" t="str">
        <f t="shared" si="6"/>
        <v/>
      </c>
      <c r="AJ49" s="97"/>
      <c r="AK49" s="253"/>
      <c r="AL49" s="253"/>
      <c r="AM49" s="246" t="str">
        <f t="shared" si="7"/>
        <v/>
      </c>
      <c r="AN49" s="97"/>
      <c r="AO49" s="253"/>
      <c r="AP49" s="253"/>
      <c r="AQ49" s="246" t="str">
        <f t="shared" si="8"/>
        <v/>
      </c>
      <c r="AR49" s="97"/>
      <c r="AS49" s="253"/>
      <c r="AT49" s="253"/>
      <c r="AU49" s="246" t="str">
        <f t="shared" si="9"/>
        <v/>
      </c>
      <c r="AV49" s="97"/>
      <c r="AW49" s="253"/>
      <c r="AX49" s="253"/>
      <c r="AY49" s="246" t="str">
        <f t="shared" si="10"/>
        <v/>
      </c>
      <c r="AZ49" s="97"/>
      <c r="BA49" s="253"/>
      <c r="BB49" s="253"/>
      <c r="BC49" s="246" t="str">
        <f t="shared" si="11"/>
        <v/>
      </c>
      <c r="BD49" s="97"/>
      <c r="BE49" s="253"/>
      <c r="BF49" s="253"/>
      <c r="BG49" s="246" t="str">
        <f t="shared" si="12"/>
        <v/>
      </c>
      <c r="BH49" s="97"/>
      <c r="BI49" s="253"/>
      <c r="BJ49" s="253"/>
      <c r="BK49" s="246" t="str">
        <f t="shared" si="13"/>
        <v/>
      </c>
      <c r="BL49" s="97"/>
      <c r="BM49" s="253"/>
      <c r="BN49" s="253"/>
      <c r="BO49" s="246" t="str">
        <f t="shared" si="14"/>
        <v/>
      </c>
      <c r="BP49" s="97"/>
      <c r="BQ49" s="253"/>
      <c r="BR49" s="253"/>
      <c r="BS49" s="246" t="str">
        <f t="shared" si="15"/>
        <v/>
      </c>
      <c r="BT49" s="97"/>
      <c r="BU49" s="253"/>
      <c r="BV49" s="253"/>
      <c r="BW49" s="246" t="str">
        <f t="shared" si="16"/>
        <v/>
      </c>
    </row>
    <row r="50" spans="1:75">
      <c r="A50" s="88">
        <v>44</v>
      </c>
      <c r="B50" s="50"/>
      <c r="C50" s="62" t="s">
        <v>727</v>
      </c>
      <c r="D50" s="260"/>
      <c r="E50" s="126" t="s">
        <v>733</v>
      </c>
      <c r="F50" s="261"/>
      <c r="G50" s="20" t="s">
        <v>841</v>
      </c>
      <c r="H50" s="20" t="s">
        <v>840</v>
      </c>
      <c r="I50" s="262" t="s">
        <v>766</v>
      </c>
      <c r="J50" s="246" t="str">
        <f t="shared" si="0"/>
        <v/>
      </c>
      <c r="K50" s="7"/>
      <c r="L50" s="97"/>
      <c r="M50" s="257"/>
      <c r="N50" s="253"/>
      <c r="O50" s="246" t="str">
        <f t="shared" si="1"/>
        <v/>
      </c>
      <c r="P50" s="97"/>
      <c r="Q50" s="253"/>
      <c r="R50" s="253"/>
      <c r="S50" s="246" t="str">
        <f t="shared" si="2"/>
        <v/>
      </c>
      <c r="T50" s="97"/>
      <c r="U50" s="253"/>
      <c r="V50" s="253"/>
      <c r="W50" s="246" t="str">
        <f t="shared" si="3"/>
        <v/>
      </c>
      <c r="X50" s="97"/>
      <c r="Y50" s="23"/>
      <c r="Z50" s="23"/>
      <c r="AA50" s="246" t="str">
        <f t="shared" si="4"/>
        <v/>
      </c>
      <c r="AB50" s="97"/>
      <c r="AC50" s="253"/>
      <c r="AD50" s="253"/>
      <c r="AE50" s="246" t="str">
        <f t="shared" si="5"/>
        <v/>
      </c>
      <c r="AF50" s="97"/>
      <c r="AG50" s="253"/>
      <c r="AH50" s="253"/>
      <c r="AI50" s="246" t="str">
        <f t="shared" si="6"/>
        <v/>
      </c>
      <c r="AJ50" s="97"/>
      <c r="AK50" s="253"/>
      <c r="AL50" s="253"/>
      <c r="AM50" s="246" t="str">
        <f t="shared" si="7"/>
        <v/>
      </c>
      <c r="AN50" s="97"/>
      <c r="AO50" s="253"/>
      <c r="AP50" s="253"/>
      <c r="AQ50" s="246" t="str">
        <f t="shared" si="8"/>
        <v/>
      </c>
      <c r="AR50" s="97"/>
      <c r="AS50" s="253"/>
      <c r="AT50" s="253"/>
      <c r="AU50" s="246" t="str">
        <f t="shared" si="9"/>
        <v/>
      </c>
      <c r="AV50" s="97"/>
      <c r="AW50" s="253"/>
      <c r="AX50" s="253"/>
      <c r="AY50" s="246" t="str">
        <f t="shared" si="10"/>
        <v/>
      </c>
      <c r="AZ50" s="97"/>
      <c r="BA50" s="253"/>
      <c r="BB50" s="253"/>
      <c r="BC50" s="246" t="str">
        <f t="shared" si="11"/>
        <v/>
      </c>
      <c r="BD50" s="97"/>
      <c r="BE50" s="253"/>
      <c r="BF50" s="253"/>
      <c r="BG50" s="246" t="str">
        <f t="shared" si="12"/>
        <v/>
      </c>
      <c r="BH50" s="97"/>
      <c r="BI50" s="253"/>
      <c r="BJ50" s="253"/>
      <c r="BK50" s="246" t="str">
        <f t="shared" si="13"/>
        <v/>
      </c>
      <c r="BL50" s="97"/>
      <c r="BM50" s="253"/>
      <c r="BN50" s="253"/>
      <c r="BO50" s="246" t="str">
        <f t="shared" si="14"/>
        <v/>
      </c>
      <c r="BP50" s="97"/>
      <c r="BQ50" s="253"/>
      <c r="BR50" s="253"/>
      <c r="BS50" s="246" t="str">
        <f t="shared" si="15"/>
        <v/>
      </c>
      <c r="BT50" s="97"/>
      <c r="BU50" s="253"/>
      <c r="BV50" s="253"/>
      <c r="BW50" s="246" t="str">
        <f t="shared" si="16"/>
        <v/>
      </c>
    </row>
    <row r="51" spans="1:75">
      <c r="A51" s="88">
        <v>45</v>
      </c>
      <c r="B51" s="50"/>
      <c r="C51" s="62" t="s">
        <v>728</v>
      </c>
      <c r="D51" s="260"/>
      <c r="E51" s="126" t="s">
        <v>755</v>
      </c>
      <c r="F51" s="261"/>
      <c r="G51" s="20" t="s">
        <v>841</v>
      </c>
      <c r="H51" s="20" t="s">
        <v>840</v>
      </c>
      <c r="I51" s="19" t="s">
        <v>766</v>
      </c>
      <c r="J51" s="246" t="str">
        <f t="shared" si="0"/>
        <v/>
      </c>
      <c r="K51" s="7"/>
      <c r="L51" s="97"/>
      <c r="M51" s="257"/>
      <c r="N51" s="253"/>
      <c r="O51" s="246" t="str">
        <f t="shared" si="1"/>
        <v/>
      </c>
      <c r="P51" s="97"/>
      <c r="Q51" s="253"/>
      <c r="R51" s="253"/>
      <c r="S51" s="246" t="str">
        <f t="shared" si="2"/>
        <v/>
      </c>
      <c r="T51" s="97"/>
      <c r="U51" s="253"/>
      <c r="V51" s="253"/>
      <c r="W51" s="246" t="str">
        <f t="shared" si="3"/>
        <v/>
      </c>
      <c r="X51" s="97"/>
      <c r="Y51" s="23"/>
      <c r="Z51" s="23"/>
      <c r="AA51" s="246" t="str">
        <f t="shared" si="4"/>
        <v/>
      </c>
      <c r="AB51" s="97"/>
      <c r="AC51" s="253"/>
      <c r="AD51" s="253"/>
      <c r="AE51" s="246" t="str">
        <f t="shared" si="5"/>
        <v/>
      </c>
      <c r="AF51" s="97"/>
      <c r="AG51" s="253"/>
      <c r="AH51" s="253"/>
      <c r="AI51" s="246" t="str">
        <f t="shared" si="6"/>
        <v/>
      </c>
      <c r="AJ51" s="97"/>
      <c r="AK51" s="253"/>
      <c r="AL51" s="253"/>
      <c r="AM51" s="246" t="str">
        <f t="shared" si="7"/>
        <v/>
      </c>
      <c r="AN51" s="97"/>
      <c r="AO51" s="253"/>
      <c r="AP51" s="253"/>
      <c r="AQ51" s="246" t="str">
        <f t="shared" si="8"/>
        <v/>
      </c>
      <c r="AR51" s="97"/>
      <c r="AS51" s="253"/>
      <c r="AT51" s="253"/>
      <c r="AU51" s="246" t="str">
        <f t="shared" si="9"/>
        <v/>
      </c>
      <c r="AV51" s="97"/>
      <c r="AW51" s="253"/>
      <c r="AX51" s="253"/>
      <c r="AY51" s="246" t="str">
        <f t="shared" si="10"/>
        <v/>
      </c>
      <c r="AZ51" s="97"/>
      <c r="BA51" s="253"/>
      <c r="BB51" s="253"/>
      <c r="BC51" s="246" t="str">
        <f t="shared" si="11"/>
        <v/>
      </c>
      <c r="BD51" s="97"/>
      <c r="BE51" s="253"/>
      <c r="BF51" s="253"/>
      <c r="BG51" s="246" t="str">
        <f t="shared" si="12"/>
        <v/>
      </c>
      <c r="BH51" s="97"/>
      <c r="BI51" s="253"/>
      <c r="BJ51" s="253"/>
      <c r="BK51" s="246" t="str">
        <f t="shared" si="13"/>
        <v/>
      </c>
      <c r="BL51" s="97"/>
      <c r="BM51" s="253"/>
      <c r="BN51" s="253"/>
      <c r="BO51" s="246" t="str">
        <f t="shared" si="14"/>
        <v/>
      </c>
      <c r="BP51" s="97"/>
      <c r="BQ51" s="253"/>
      <c r="BR51" s="253"/>
      <c r="BS51" s="246" t="str">
        <f t="shared" si="15"/>
        <v/>
      </c>
      <c r="BT51" s="97"/>
      <c r="BU51" s="253"/>
      <c r="BV51" s="253"/>
      <c r="BW51" s="246" t="str">
        <f t="shared" si="16"/>
        <v/>
      </c>
    </row>
    <row r="52" spans="1:75">
      <c r="A52" s="88">
        <v>46</v>
      </c>
      <c r="B52" s="50"/>
      <c r="C52" s="62" t="s">
        <v>727</v>
      </c>
      <c r="D52" s="260"/>
      <c r="E52" s="126" t="s">
        <v>756</v>
      </c>
      <c r="F52" s="261"/>
      <c r="G52" s="20" t="s">
        <v>841</v>
      </c>
      <c r="H52" s="20" t="s">
        <v>840</v>
      </c>
      <c r="I52" s="262" t="s">
        <v>766</v>
      </c>
      <c r="J52" s="246" t="str">
        <f t="shared" si="0"/>
        <v/>
      </c>
      <c r="K52" s="7"/>
      <c r="L52" s="97"/>
      <c r="M52" s="257"/>
      <c r="N52" s="253"/>
      <c r="O52" s="246" t="str">
        <f t="shared" si="1"/>
        <v/>
      </c>
      <c r="P52" s="97"/>
      <c r="Q52" s="253"/>
      <c r="R52" s="253"/>
      <c r="S52" s="246" t="str">
        <f t="shared" si="2"/>
        <v/>
      </c>
      <c r="T52" s="97"/>
      <c r="U52" s="253"/>
      <c r="V52" s="253"/>
      <c r="W52" s="246" t="str">
        <f t="shared" si="3"/>
        <v/>
      </c>
      <c r="X52" s="97"/>
      <c r="Y52" s="23"/>
      <c r="Z52" s="23"/>
      <c r="AA52" s="246" t="str">
        <f t="shared" si="4"/>
        <v/>
      </c>
      <c r="AB52" s="97"/>
      <c r="AC52" s="253"/>
      <c r="AD52" s="253"/>
      <c r="AE52" s="246" t="str">
        <f t="shared" si="5"/>
        <v/>
      </c>
      <c r="AF52" s="97"/>
      <c r="AG52" s="253"/>
      <c r="AH52" s="253"/>
      <c r="AI52" s="246" t="str">
        <f t="shared" si="6"/>
        <v/>
      </c>
      <c r="AJ52" s="97"/>
      <c r="AK52" s="253"/>
      <c r="AL52" s="253"/>
      <c r="AM52" s="246" t="str">
        <f t="shared" si="7"/>
        <v/>
      </c>
      <c r="AN52" s="97"/>
      <c r="AO52" s="253"/>
      <c r="AP52" s="253"/>
      <c r="AQ52" s="246" t="str">
        <f t="shared" si="8"/>
        <v/>
      </c>
      <c r="AR52" s="97"/>
      <c r="AS52" s="253"/>
      <c r="AT52" s="253"/>
      <c r="AU52" s="246" t="str">
        <f t="shared" si="9"/>
        <v/>
      </c>
      <c r="AV52" s="97"/>
      <c r="AW52" s="253"/>
      <c r="AX52" s="253"/>
      <c r="AY52" s="246" t="str">
        <f t="shared" si="10"/>
        <v/>
      </c>
      <c r="AZ52" s="97"/>
      <c r="BA52" s="253"/>
      <c r="BB52" s="253"/>
      <c r="BC52" s="246" t="str">
        <f t="shared" si="11"/>
        <v/>
      </c>
      <c r="BD52" s="97"/>
      <c r="BE52" s="253"/>
      <c r="BF52" s="253"/>
      <c r="BG52" s="246" t="str">
        <f t="shared" si="12"/>
        <v/>
      </c>
      <c r="BH52" s="97"/>
      <c r="BI52" s="253"/>
      <c r="BJ52" s="253"/>
      <c r="BK52" s="246" t="str">
        <f t="shared" si="13"/>
        <v/>
      </c>
      <c r="BL52" s="97"/>
      <c r="BM52" s="253"/>
      <c r="BN52" s="253"/>
      <c r="BO52" s="246" t="str">
        <f t="shared" si="14"/>
        <v/>
      </c>
      <c r="BP52" s="97"/>
      <c r="BQ52" s="253"/>
      <c r="BR52" s="253"/>
      <c r="BS52" s="246" t="str">
        <f t="shared" si="15"/>
        <v/>
      </c>
      <c r="BT52" s="97"/>
      <c r="BU52" s="253"/>
      <c r="BV52" s="253"/>
      <c r="BW52" s="246" t="str">
        <f t="shared" si="16"/>
        <v/>
      </c>
    </row>
    <row r="53" spans="1:75">
      <c r="A53" s="88">
        <v>47</v>
      </c>
      <c r="B53" s="50"/>
      <c r="C53" s="62" t="s">
        <v>727</v>
      </c>
      <c r="D53" s="260"/>
      <c r="E53" s="126" t="s">
        <v>740</v>
      </c>
      <c r="F53" s="261"/>
      <c r="G53" s="20" t="s">
        <v>841</v>
      </c>
      <c r="H53" s="20" t="s">
        <v>840</v>
      </c>
      <c r="I53" s="262" t="s">
        <v>766</v>
      </c>
      <c r="J53" s="246" t="str">
        <f t="shared" si="0"/>
        <v/>
      </c>
      <c r="K53" s="7"/>
      <c r="L53" s="97"/>
      <c r="M53" s="257"/>
      <c r="N53" s="253"/>
      <c r="O53" s="246" t="str">
        <f t="shared" si="1"/>
        <v/>
      </c>
      <c r="P53" s="97"/>
      <c r="Q53" s="253"/>
      <c r="R53" s="253"/>
      <c r="S53" s="246" t="str">
        <f t="shared" si="2"/>
        <v/>
      </c>
      <c r="T53" s="97"/>
      <c r="U53" s="253"/>
      <c r="V53" s="253"/>
      <c r="W53" s="246" t="str">
        <f t="shared" si="3"/>
        <v/>
      </c>
      <c r="X53" s="97"/>
      <c r="Y53" s="23"/>
      <c r="Z53" s="23"/>
      <c r="AA53" s="246" t="str">
        <f t="shared" si="4"/>
        <v/>
      </c>
      <c r="AB53" s="97"/>
      <c r="AC53" s="253"/>
      <c r="AD53" s="253"/>
      <c r="AE53" s="246" t="str">
        <f t="shared" si="5"/>
        <v/>
      </c>
      <c r="AF53" s="97"/>
      <c r="AG53" s="253"/>
      <c r="AH53" s="253"/>
      <c r="AI53" s="246" t="str">
        <f t="shared" si="6"/>
        <v/>
      </c>
      <c r="AJ53" s="97"/>
      <c r="AK53" s="253"/>
      <c r="AL53" s="253"/>
      <c r="AM53" s="246" t="str">
        <f t="shared" si="7"/>
        <v/>
      </c>
      <c r="AN53" s="97"/>
      <c r="AO53" s="253"/>
      <c r="AP53" s="253"/>
      <c r="AQ53" s="246" t="str">
        <f t="shared" si="8"/>
        <v/>
      </c>
      <c r="AR53" s="97"/>
      <c r="AS53" s="253"/>
      <c r="AT53" s="253"/>
      <c r="AU53" s="246" t="str">
        <f t="shared" si="9"/>
        <v/>
      </c>
      <c r="AV53" s="97"/>
      <c r="AW53" s="253"/>
      <c r="AX53" s="253"/>
      <c r="AY53" s="246" t="str">
        <f t="shared" si="10"/>
        <v/>
      </c>
      <c r="AZ53" s="97"/>
      <c r="BA53" s="253"/>
      <c r="BB53" s="253"/>
      <c r="BC53" s="246" t="str">
        <f t="shared" si="11"/>
        <v/>
      </c>
      <c r="BD53" s="97"/>
      <c r="BE53" s="253"/>
      <c r="BF53" s="253"/>
      <c r="BG53" s="246" t="str">
        <f t="shared" si="12"/>
        <v/>
      </c>
      <c r="BH53" s="97"/>
      <c r="BI53" s="253"/>
      <c r="BJ53" s="253"/>
      <c r="BK53" s="246" t="str">
        <f t="shared" si="13"/>
        <v/>
      </c>
      <c r="BL53" s="97"/>
      <c r="BM53" s="253"/>
      <c r="BN53" s="253"/>
      <c r="BO53" s="246" t="str">
        <f t="shared" si="14"/>
        <v/>
      </c>
      <c r="BP53" s="97"/>
      <c r="BQ53" s="253"/>
      <c r="BR53" s="253"/>
      <c r="BS53" s="246" t="str">
        <f t="shared" si="15"/>
        <v/>
      </c>
      <c r="BT53" s="97"/>
      <c r="BU53" s="253"/>
      <c r="BV53" s="253"/>
      <c r="BW53" s="246" t="str">
        <f t="shared" si="16"/>
        <v/>
      </c>
    </row>
    <row r="54" spans="1:75">
      <c r="A54" s="88">
        <v>48</v>
      </c>
      <c r="B54" s="50"/>
      <c r="C54" s="62" t="s">
        <v>727</v>
      </c>
      <c r="D54" s="260"/>
      <c r="E54" s="126" t="s">
        <v>740</v>
      </c>
      <c r="F54" s="261"/>
      <c r="G54" s="20" t="s">
        <v>841</v>
      </c>
      <c r="H54" s="20" t="s">
        <v>840</v>
      </c>
      <c r="I54" s="262" t="s">
        <v>766</v>
      </c>
      <c r="J54" s="246" t="str">
        <f t="shared" si="0"/>
        <v/>
      </c>
      <c r="K54" s="7"/>
      <c r="L54" s="97"/>
      <c r="M54" s="257"/>
      <c r="N54" s="253"/>
      <c r="O54" s="246" t="str">
        <f t="shared" si="1"/>
        <v/>
      </c>
      <c r="P54" s="97"/>
      <c r="Q54" s="253"/>
      <c r="R54" s="253"/>
      <c r="S54" s="246" t="str">
        <f t="shared" si="2"/>
        <v/>
      </c>
      <c r="T54" s="97"/>
      <c r="U54" s="253"/>
      <c r="V54" s="253"/>
      <c r="W54" s="246" t="str">
        <f t="shared" si="3"/>
        <v/>
      </c>
      <c r="X54" s="97"/>
      <c r="Y54" s="23"/>
      <c r="Z54" s="23"/>
      <c r="AA54" s="246" t="str">
        <f t="shared" si="4"/>
        <v/>
      </c>
      <c r="AB54" s="97"/>
      <c r="AC54" s="253"/>
      <c r="AD54" s="253"/>
      <c r="AE54" s="246" t="str">
        <f t="shared" si="5"/>
        <v/>
      </c>
      <c r="AF54" s="97"/>
      <c r="AG54" s="253"/>
      <c r="AH54" s="253"/>
      <c r="AI54" s="246" t="str">
        <f t="shared" si="6"/>
        <v/>
      </c>
      <c r="AJ54" s="97"/>
      <c r="AK54" s="253"/>
      <c r="AL54" s="253"/>
      <c r="AM54" s="246" t="str">
        <f t="shared" si="7"/>
        <v/>
      </c>
      <c r="AN54" s="97"/>
      <c r="AO54" s="253"/>
      <c r="AP54" s="253"/>
      <c r="AQ54" s="246" t="str">
        <f t="shared" si="8"/>
        <v/>
      </c>
      <c r="AR54" s="97"/>
      <c r="AS54" s="253"/>
      <c r="AT54" s="253"/>
      <c r="AU54" s="246" t="str">
        <f t="shared" si="9"/>
        <v/>
      </c>
      <c r="AV54" s="97"/>
      <c r="AW54" s="253"/>
      <c r="AX54" s="253"/>
      <c r="AY54" s="246" t="str">
        <f t="shared" si="10"/>
        <v/>
      </c>
      <c r="AZ54" s="97"/>
      <c r="BA54" s="253"/>
      <c r="BB54" s="253"/>
      <c r="BC54" s="246" t="str">
        <f t="shared" si="11"/>
        <v/>
      </c>
      <c r="BD54" s="97"/>
      <c r="BE54" s="253"/>
      <c r="BF54" s="253"/>
      <c r="BG54" s="246" t="str">
        <f t="shared" si="12"/>
        <v/>
      </c>
      <c r="BH54" s="97"/>
      <c r="BI54" s="253"/>
      <c r="BJ54" s="253"/>
      <c r="BK54" s="246" t="str">
        <f t="shared" si="13"/>
        <v/>
      </c>
      <c r="BL54" s="97"/>
      <c r="BM54" s="253"/>
      <c r="BN54" s="253"/>
      <c r="BO54" s="246" t="str">
        <f t="shared" si="14"/>
        <v/>
      </c>
      <c r="BP54" s="97"/>
      <c r="BQ54" s="253"/>
      <c r="BR54" s="253"/>
      <c r="BS54" s="246" t="str">
        <f t="shared" si="15"/>
        <v/>
      </c>
      <c r="BT54" s="97"/>
      <c r="BU54" s="253"/>
      <c r="BV54" s="253"/>
      <c r="BW54" s="246" t="str">
        <f t="shared" si="16"/>
        <v/>
      </c>
    </row>
    <row r="55" spans="1:75">
      <c r="A55" s="88">
        <v>49</v>
      </c>
      <c r="B55" s="50"/>
      <c r="C55" s="62" t="s">
        <v>727</v>
      </c>
      <c r="D55" s="260"/>
      <c r="E55" s="126" t="s">
        <v>740</v>
      </c>
      <c r="F55" s="261"/>
      <c r="G55" s="20" t="s">
        <v>841</v>
      </c>
      <c r="H55" s="20" t="s">
        <v>840</v>
      </c>
      <c r="I55" s="262" t="s">
        <v>766</v>
      </c>
      <c r="J55" s="246" t="str">
        <f t="shared" si="0"/>
        <v/>
      </c>
      <c r="K55" s="7"/>
      <c r="L55" s="97"/>
      <c r="M55" s="257"/>
      <c r="N55" s="253"/>
      <c r="O55" s="246" t="str">
        <f t="shared" si="1"/>
        <v/>
      </c>
      <c r="P55" s="97"/>
      <c r="Q55" s="253"/>
      <c r="R55" s="253"/>
      <c r="S55" s="246" t="str">
        <f t="shared" si="2"/>
        <v/>
      </c>
      <c r="T55" s="97"/>
      <c r="U55" s="253"/>
      <c r="V55" s="253"/>
      <c r="W55" s="246" t="str">
        <f t="shared" si="3"/>
        <v/>
      </c>
      <c r="X55" s="97"/>
      <c r="Y55" s="23"/>
      <c r="Z55" s="23"/>
      <c r="AA55" s="246" t="str">
        <f t="shared" si="4"/>
        <v/>
      </c>
      <c r="AB55" s="97"/>
      <c r="AC55" s="253"/>
      <c r="AD55" s="253"/>
      <c r="AE55" s="246" t="str">
        <f t="shared" si="5"/>
        <v/>
      </c>
      <c r="AF55" s="97"/>
      <c r="AG55" s="253"/>
      <c r="AH55" s="253"/>
      <c r="AI55" s="246" t="str">
        <f t="shared" si="6"/>
        <v/>
      </c>
      <c r="AJ55" s="97"/>
      <c r="AK55" s="253"/>
      <c r="AL55" s="253"/>
      <c r="AM55" s="246" t="str">
        <f t="shared" si="7"/>
        <v/>
      </c>
      <c r="AN55" s="97"/>
      <c r="AO55" s="253"/>
      <c r="AP55" s="253"/>
      <c r="AQ55" s="246" t="str">
        <f t="shared" si="8"/>
        <v/>
      </c>
      <c r="AR55" s="97"/>
      <c r="AS55" s="253"/>
      <c r="AT55" s="253"/>
      <c r="AU55" s="246" t="str">
        <f t="shared" si="9"/>
        <v/>
      </c>
      <c r="AV55" s="97"/>
      <c r="AW55" s="253"/>
      <c r="AX55" s="253"/>
      <c r="AY55" s="246" t="str">
        <f t="shared" si="10"/>
        <v/>
      </c>
      <c r="AZ55" s="97"/>
      <c r="BA55" s="253"/>
      <c r="BB55" s="253"/>
      <c r="BC55" s="246" t="str">
        <f t="shared" si="11"/>
        <v/>
      </c>
      <c r="BD55" s="97"/>
      <c r="BE55" s="253"/>
      <c r="BF55" s="253"/>
      <c r="BG55" s="246" t="str">
        <f t="shared" si="12"/>
        <v/>
      </c>
      <c r="BH55" s="97"/>
      <c r="BI55" s="253"/>
      <c r="BJ55" s="253"/>
      <c r="BK55" s="246" t="str">
        <f t="shared" si="13"/>
        <v/>
      </c>
      <c r="BL55" s="97"/>
      <c r="BM55" s="253"/>
      <c r="BN55" s="253"/>
      <c r="BO55" s="246" t="str">
        <f t="shared" si="14"/>
        <v/>
      </c>
      <c r="BP55" s="97"/>
      <c r="BQ55" s="253"/>
      <c r="BR55" s="253"/>
      <c r="BS55" s="246" t="str">
        <f t="shared" si="15"/>
        <v/>
      </c>
      <c r="BT55" s="97"/>
      <c r="BU55" s="253"/>
      <c r="BV55" s="253"/>
      <c r="BW55" s="246" t="str">
        <f t="shared" si="16"/>
        <v/>
      </c>
    </row>
    <row r="56" spans="1:75">
      <c r="A56" s="88">
        <v>50</v>
      </c>
      <c r="B56" s="50"/>
      <c r="C56" s="62" t="s">
        <v>727</v>
      </c>
      <c r="D56" s="260"/>
      <c r="E56" s="126" t="s">
        <v>734</v>
      </c>
      <c r="F56" s="261"/>
      <c r="G56" s="20" t="s">
        <v>841</v>
      </c>
      <c r="H56" s="20" t="s">
        <v>840</v>
      </c>
      <c r="I56" s="262" t="s">
        <v>766</v>
      </c>
      <c r="J56" s="246" t="str">
        <f t="shared" si="0"/>
        <v/>
      </c>
      <c r="K56" s="7"/>
      <c r="L56" s="97"/>
      <c r="M56" s="257"/>
      <c r="N56" s="253"/>
      <c r="O56" s="246" t="str">
        <f t="shared" si="1"/>
        <v/>
      </c>
      <c r="P56" s="97"/>
      <c r="Q56" s="253"/>
      <c r="R56" s="253"/>
      <c r="S56" s="246" t="str">
        <f t="shared" si="2"/>
        <v/>
      </c>
      <c r="T56" s="97"/>
      <c r="U56" s="253"/>
      <c r="V56" s="253"/>
      <c r="W56" s="246" t="str">
        <f t="shared" si="3"/>
        <v/>
      </c>
      <c r="X56" s="97"/>
      <c r="Y56" s="23"/>
      <c r="Z56" s="23"/>
      <c r="AA56" s="246" t="str">
        <f t="shared" si="4"/>
        <v/>
      </c>
      <c r="AB56" s="97"/>
      <c r="AC56" s="253"/>
      <c r="AD56" s="253"/>
      <c r="AE56" s="246" t="str">
        <f t="shared" si="5"/>
        <v/>
      </c>
      <c r="AF56" s="97"/>
      <c r="AG56" s="253"/>
      <c r="AH56" s="253"/>
      <c r="AI56" s="246" t="str">
        <f t="shared" si="6"/>
        <v/>
      </c>
      <c r="AJ56" s="97"/>
      <c r="AK56" s="253"/>
      <c r="AL56" s="253"/>
      <c r="AM56" s="246" t="str">
        <f t="shared" si="7"/>
        <v/>
      </c>
      <c r="AN56" s="97"/>
      <c r="AO56" s="253"/>
      <c r="AP56" s="253"/>
      <c r="AQ56" s="246" t="str">
        <f t="shared" si="8"/>
        <v/>
      </c>
      <c r="AR56" s="97"/>
      <c r="AS56" s="253"/>
      <c r="AT56" s="253"/>
      <c r="AU56" s="246" t="str">
        <f t="shared" si="9"/>
        <v/>
      </c>
      <c r="AV56" s="97"/>
      <c r="AW56" s="253"/>
      <c r="AX56" s="253"/>
      <c r="AY56" s="246" t="str">
        <f t="shared" si="10"/>
        <v/>
      </c>
      <c r="AZ56" s="97"/>
      <c r="BA56" s="253"/>
      <c r="BB56" s="253"/>
      <c r="BC56" s="246" t="str">
        <f t="shared" si="11"/>
        <v/>
      </c>
      <c r="BD56" s="97"/>
      <c r="BE56" s="253"/>
      <c r="BF56" s="253"/>
      <c r="BG56" s="246" t="str">
        <f t="shared" si="12"/>
        <v/>
      </c>
      <c r="BH56" s="97"/>
      <c r="BI56" s="253"/>
      <c r="BJ56" s="253"/>
      <c r="BK56" s="246" t="str">
        <f t="shared" si="13"/>
        <v/>
      </c>
      <c r="BL56" s="97"/>
      <c r="BM56" s="253"/>
      <c r="BN56" s="253"/>
      <c r="BO56" s="246" t="str">
        <f t="shared" si="14"/>
        <v/>
      </c>
      <c r="BP56" s="97"/>
      <c r="BQ56" s="253"/>
      <c r="BR56" s="253"/>
      <c r="BS56" s="246" t="str">
        <f t="shared" si="15"/>
        <v/>
      </c>
      <c r="BT56" s="97"/>
      <c r="BU56" s="253"/>
      <c r="BV56" s="253"/>
      <c r="BW56" s="246" t="str">
        <f t="shared" si="16"/>
        <v/>
      </c>
    </row>
    <row r="57" spans="1:75">
      <c r="A57" s="88">
        <v>51</v>
      </c>
      <c r="B57" s="50"/>
      <c r="C57" s="62"/>
      <c r="D57" s="117"/>
      <c r="E57" s="126"/>
      <c r="F57" s="190"/>
      <c r="G57" s="20"/>
      <c r="H57" s="20"/>
      <c r="I57" s="19"/>
      <c r="J57" s="246" t="str">
        <f t="shared" si="0"/>
        <v/>
      </c>
      <c r="K57" s="7"/>
      <c r="L57" s="97"/>
      <c r="M57" s="257"/>
      <c r="N57" s="253"/>
      <c r="O57" s="246" t="str">
        <f t="shared" si="1"/>
        <v/>
      </c>
      <c r="P57" s="97"/>
      <c r="Q57" s="253"/>
      <c r="R57" s="253"/>
      <c r="S57" s="246" t="str">
        <f t="shared" si="2"/>
        <v/>
      </c>
      <c r="T57" s="97"/>
      <c r="U57" s="253"/>
      <c r="V57" s="253"/>
      <c r="W57" s="246" t="str">
        <f t="shared" si="3"/>
        <v/>
      </c>
      <c r="X57" s="97"/>
      <c r="Y57" s="23"/>
      <c r="Z57" s="23"/>
      <c r="AA57" s="246" t="str">
        <f t="shared" si="4"/>
        <v/>
      </c>
      <c r="AB57" s="97"/>
      <c r="AC57" s="253"/>
      <c r="AD57" s="253"/>
      <c r="AE57" s="246" t="str">
        <f t="shared" si="5"/>
        <v/>
      </c>
      <c r="AF57" s="97"/>
      <c r="AG57" s="253"/>
      <c r="AH57" s="253"/>
      <c r="AI57" s="246" t="str">
        <f t="shared" si="6"/>
        <v/>
      </c>
      <c r="AJ57" s="97"/>
      <c r="AK57" s="253"/>
      <c r="AL57" s="253"/>
      <c r="AM57" s="246" t="str">
        <f t="shared" si="7"/>
        <v/>
      </c>
      <c r="AN57" s="97"/>
      <c r="AO57" s="253"/>
      <c r="AP57" s="253"/>
      <c r="AQ57" s="246" t="str">
        <f t="shared" si="8"/>
        <v/>
      </c>
      <c r="AR57" s="97"/>
      <c r="AS57" s="253"/>
      <c r="AT57" s="253"/>
      <c r="AU57" s="246" t="str">
        <f t="shared" si="9"/>
        <v/>
      </c>
      <c r="AV57" s="97"/>
      <c r="AW57" s="253"/>
      <c r="AX57" s="253"/>
      <c r="AY57" s="246" t="str">
        <f t="shared" si="10"/>
        <v/>
      </c>
      <c r="AZ57" s="97"/>
      <c r="BA57" s="253"/>
      <c r="BB57" s="253"/>
      <c r="BC57" s="246" t="str">
        <f t="shared" si="11"/>
        <v/>
      </c>
      <c r="BD57" s="97"/>
      <c r="BE57" s="253"/>
      <c r="BF57" s="253"/>
      <c r="BG57" s="246" t="str">
        <f t="shared" si="12"/>
        <v/>
      </c>
      <c r="BH57" s="97"/>
      <c r="BI57" s="253"/>
      <c r="BJ57" s="253"/>
      <c r="BK57" s="246" t="str">
        <f t="shared" si="13"/>
        <v/>
      </c>
      <c r="BL57" s="97"/>
      <c r="BM57" s="253"/>
      <c r="BN57" s="253"/>
      <c r="BO57" s="246" t="str">
        <f t="shared" si="14"/>
        <v/>
      </c>
      <c r="BP57" s="97"/>
      <c r="BQ57" s="253"/>
      <c r="BR57" s="253"/>
      <c r="BS57" s="246" t="str">
        <f t="shared" si="15"/>
        <v/>
      </c>
      <c r="BT57" s="97"/>
      <c r="BU57" s="253"/>
      <c r="BV57" s="253"/>
      <c r="BW57" s="246" t="str">
        <f t="shared" si="16"/>
        <v/>
      </c>
    </row>
    <row r="58" spans="1:75">
      <c r="A58" s="88">
        <v>52</v>
      </c>
      <c r="B58" s="50"/>
      <c r="C58" s="62"/>
      <c r="D58" s="117"/>
      <c r="E58" s="126"/>
      <c r="F58" s="190"/>
      <c r="G58" s="20"/>
      <c r="H58" s="20"/>
      <c r="I58" s="19"/>
      <c r="J58" s="246" t="str">
        <f t="shared" si="0"/>
        <v/>
      </c>
      <c r="K58" s="7"/>
      <c r="L58" s="97"/>
      <c r="M58" s="257"/>
      <c r="N58" s="253"/>
      <c r="O58" s="246" t="str">
        <f t="shared" si="1"/>
        <v/>
      </c>
      <c r="P58" s="97"/>
      <c r="Q58" s="253"/>
      <c r="R58" s="253"/>
      <c r="S58" s="246" t="str">
        <f t="shared" si="2"/>
        <v/>
      </c>
      <c r="T58" s="97"/>
      <c r="U58" s="253"/>
      <c r="V58" s="253"/>
      <c r="W58" s="246" t="str">
        <f t="shared" si="3"/>
        <v/>
      </c>
      <c r="X58" s="97"/>
      <c r="Y58" s="23"/>
      <c r="Z58" s="23"/>
      <c r="AA58" s="246" t="str">
        <f t="shared" si="4"/>
        <v/>
      </c>
      <c r="AB58" s="97"/>
      <c r="AC58" s="253"/>
      <c r="AD58" s="253"/>
      <c r="AE58" s="246" t="str">
        <f t="shared" si="5"/>
        <v/>
      </c>
      <c r="AF58" s="97"/>
      <c r="AG58" s="253"/>
      <c r="AH58" s="253"/>
      <c r="AI58" s="246" t="str">
        <f t="shared" si="6"/>
        <v/>
      </c>
      <c r="AJ58" s="97"/>
      <c r="AK58" s="253"/>
      <c r="AL58" s="253"/>
      <c r="AM58" s="246" t="str">
        <f t="shared" si="7"/>
        <v/>
      </c>
      <c r="AN58" s="97"/>
      <c r="AO58" s="253"/>
      <c r="AP58" s="253"/>
      <c r="AQ58" s="246" t="str">
        <f t="shared" si="8"/>
        <v/>
      </c>
      <c r="AR58" s="97"/>
      <c r="AS58" s="253"/>
      <c r="AT58" s="253"/>
      <c r="AU58" s="246" t="str">
        <f t="shared" si="9"/>
        <v/>
      </c>
      <c r="AV58" s="97"/>
      <c r="AW58" s="253"/>
      <c r="AX58" s="253"/>
      <c r="AY58" s="246" t="str">
        <f t="shared" si="10"/>
        <v/>
      </c>
      <c r="AZ58" s="97"/>
      <c r="BA58" s="253"/>
      <c r="BB58" s="253"/>
      <c r="BC58" s="246" t="str">
        <f t="shared" si="11"/>
        <v/>
      </c>
      <c r="BD58" s="97"/>
      <c r="BE58" s="253"/>
      <c r="BF58" s="253"/>
      <c r="BG58" s="246" t="str">
        <f t="shared" si="12"/>
        <v/>
      </c>
      <c r="BH58" s="97"/>
      <c r="BI58" s="253"/>
      <c r="BJ58" s="253"/>
      <c r="BK58" s="246" t="str">
        <f t="shared" si="13"/>
        <v/>
      </c>
      <c r="BL58" s="97"/>
      <c r="BM58" s="253"/>
      <c r="BN58" s="253"/>
      <c r="BO58" s="246" t="str">
        <f t="shared" si="14"/>
        <v/>
      </c>
      <c r="BP58" s="97"/>
      <c r="BQ58" s="253"/>
      <c r="BR58" s="253"/>
      <c r="BS58" s="246" t="str">
        <f t="shared" si="15"/>
        <v/>
      </c>
      <c r="BT58" s="97"/>
      <c r="BU58" s="253"/>
      <c r="BV58" s="253"/>
      <c r="BW58" s="246" t="str">
        <f t="shared" si="16"/>
        <v/>
      </c>
    </row>
    <row r="59" spans="1:75">
      <c r="A59" s="88">
        <v>53</v>
      </c>
      <c r="B59" s="50"/>
      <c r="C59" s="62"/>
      <c r="D59" s="117"/>
      <c r="E59" s="126"/>
      <c r="F59" s="190"/>
      <c r="G59" s="20"/>
      <c r="H59" s="20"/>
      <c r="I59" s="19"/>
      <c r="J59" s="246" t="str">
        <f t="shared" si="0"/>
        <v/>
      </c>
      <c r="K59" s="7"/>
      <c r="L59" s="97"/>
      <c r="M59" s="257"/>
      <c r="N59" s="253"/>
      <c r="O59" s="246" t="str">
        <f t="shared" si="1"/>
        <v/>
      </c>
      <c r="P59" s="97"/>
      <c r="Q59" s="253"/>
      <c r="R59" s="253"/>
      <c r="S59" s="246" t="str">
        <f t="shared" si="2"/>
        <v/>
      </c>
      <c r="T59" s="97"/>
      <c r="U59" s="253"/>
      <c r="V59" s="253"/>
      <c r="W59" s="246" t="str">
        <f t="shared" si="3"/>
        <v/>
      </c>
      <c r="X59" s="97"/>
      <c r="Y59" s="23"/>
      <c r="Z59" s="23"/>
      <c r="AA59" s="246" t="str">
        <f t="shared" si="4"/>
        <v/>
      </c>
      <c r="AB59" s="97"/>
      <c r="AC59" s="253"/>
      <c r="AD59" s="253"/>
      <c r="AE59" s="246" t="str">
        <f t="shared" si="5"/>
        <v/>
      </c>
      <c r="AF59" s="97"/>
      <c r="AG59" s="253"/>
      <c r="AH59" s="253"/>
      <c r="AI59" s="246" t="str">
        <f t="shared" si="6"/>
        <v/>
      </c>
      <c r="AJ59" s="97"/>
      <c r="AK59" s="253"/>
      <c r="AL59" s="253"/>
      <c r="AM59" s="246" t="str">
        <f t="shared" si="7"/>
        <v/>
      </c>
      <c r="AN59" s="97"/>
      <c r="AO59" s="253"/>
      <c r="AP59" s="253"/>
      <c r="AQ59" s="246" t="str">
        <f t="shared" si="8"/>
        <v/>
      </c>
      <c r="AR59" s="97"/>
      <c r="AS59" s="253"/>
      <c r="AT59" s="253"/>
      <c r="AU59" s="246" t="str">
        <f t="shared" si="9"/>
        <v/>
      </c>
      <c r="AV59" s="97"/>
      <c r="AW59" s="253"/>
      <c r="AX59" s="253"/>
      <c r="AY59" s="246" t="str">
        <f t="shared" si="10"/>
        <v/>
      </c>
      <c r="AZ59" s="97"/>
      <c r="BA59" s="253"/>
      <c r="BB59" s="253"/>
      <c r="BC59" s="246" t="str">
        <f t="shared" si="11"/>
        <v/>
      </c>
      <c r="BD59" s="97"/>
      <c r="BE59" s="253"/>
      <c r="BF59" s="253"/>
      <c r="BG59" s="246" t="str">
        <f t="shared" si="12"/>
        <v/>
      </c>
      <c r="BH59" s="97"/>
      <c r="BI59" s="253"/>
      <c r="BJ59" s="253"/>
      <c r="BK59" s="246" t="str">
        <f t="shared" si="13"/>
        <v/>
      </c>
      <c r="BL59" s="97"/>
      <c r="BM59" s="253"/>
      <c r="BN59" s="253"/>
      <c r="BO59" s="246" t="str">
        <f t="shared" si="14"/>
        <v/>
      </c>
      <c r="BP59" s="97"/>
      <c r="BQ59" s="253"/>
      <c r="BR59" s="253"/>
      <c r="BS59" s="246" t="str">
        <f t="shared" si="15"/>
        <v/>
      </c>
      <c r="BT59" s="97"/>
      <c r="BU59" s="253"/>
      <c r="BV59" s="253"/>
      <c r="BW59" s="246" t="str">
        <f t="shared" si="16"/>
        <v/>
      </c>
    </row>
    <row r="60" spans="1:75">
      <c r="A60" s="88">
        <v>54</v>
      </c>
      <c r="B60" s="50"/>
      <c r="C60" s="62"/>
      <c r="D60" s="117"/>
      <c r="E60" s="126"/>
      <c r="F60" s="190"/>
      <c r="G60" s="20"/>
      <c r="H60" s="20"/>
      <c r="I60" s="19"/>
      <c r="J60" s="246" t="str">
        <f t="shared" si="0"/>
        <v/>
      </c>
      <c r="K60" s="7"/>
      <c r="L60" s="97"/>
      <c r="M60" s="257"/>
      <c r="N60" s="253"/>
      <c r="O60" s="246" t="str">
        <f t="shared" si="1"/>
        <v/>
      </c>
      <c r="P60" s="97"/>
      <c r="Q60" s="253"/>
      <c r="R60" s="253"/>
      <c r="S60" s="246" t="str">
        <f t="shared" si="2"/>
        <v/>
      </c>
      <c r="T60" s="97"/>
      <c r="U60" s="253"/>
      <c r="V60" s="253"/>
      <c r="W60" s="246" t="str">
        <f t="shared" si="3"/>
        <v/>
      </c>
      <c r="X60" s="97"/>
      <c r="Y60" s="23"/>
      <c r="Z60" s="23"/>
      <c r="AA60" s="246" t="str">
        <f t="shared" si="4"/>
        <v/>
      </c>
      <c r="AB60" s="97"/>
      <c r="AC60" s="253"/>
      <c r="AD60" s="253"/>
      <c r="AE60" s="246" t="str">
        <f t="shared" si="5"/>
        <v/>
      </c>
      <c r="AF60" s="97"/>
      <c r="AG60" s="253"/>
      <c r="AH60" s="253"/>
      <c r="AI60" s="246" t="str">
        <f t="shared" si="6"/>
        <v/>
      </c>
      <c r="AJ60" s="97"/>
      <c r="AK60" s="253"/>
      <c r="AL60" s="253"/>
      <c r="AM60" s="246" t="str">
        <f t="shared" si="7"/>
        <v/>
      </c>
      <c r="AN60" s="97"/>
      <c r="AO60" s="253"/>
      <c r="AP60" s="253"/>
      <c r="AQ60" s="246" t="str">
        <f t="shared" si="8"/>
        <v/>
      </c>
      <c r="AR60" s="97"/>
      <c r="AS60" s="253"/>
      <c r="AT60" s="253"/>
      <c r="AU60" s="246" t="str">
        <f t="shared" si="9"/>
        <v/>
      </c>
      <c r="AV60" s="97"/>
      <c r="AW60" s="253"/>
      <c r="AX60" s="253"/>
      <c r="AY60" s="246" t="str">
        <f t="shared" si="10"/>
        <v/>
      </c>
      <c r="AZ60" s="97"/>
      <c r="BA60" s="253"/>
      <c r="BB60" s="253"/>
      <c r="BC60" s="246" t="str">
        <f t="shared" si="11"/>
        <v/>
      </c>
      <c r="BD60" s="97"/>
      <c r="BE60" s="253"/>
      <c r="BF60" s="253"/>
      <c r="BG60" s="246" t="str">
        <f t="shared" si="12"/>
        <v/>
      </c>
      <c r="BH60" s="97"/>
      <c r="BI60" s="253"/>
      <c r="BJ60" s="253"/>
      <c r="BK60" s="246" t="str">
        <f t="shared" si="13"/>
        <v/>
      </c>
      <c r="BL60" s="97"/>
      <c r="BM60" s="253"/>
      <c r="BN60" s="253"/>
      <c r="BO60" s="246" t="str">
        <f t="shared" si="14"/>
        <v/>
      </c>
      <c r="BP60" s="97"/>
      <c r="BQ60" s="253"/>
      <c r="BR60" s="253"/>
      <c r="BS60" s="246" t="str">
        <f t="shared" si="15"/>
        <v/>
      </c>
      <c r="BT60" s="97"/>
      <c r="BU60" s="253"/>
      <c r="BV60" s="253"/>
      <c r="BW60" s="246" t="str">
        <f t="shared" si="16"/>
        <v/>
      </c>
    </row>
    <row r="61" spans="1:75">
      <c r="A61" s="88">
        <v>55</v>
      </c>
      <c r="B61" s="50"/>
      <c r="C61" s="62"/>
      <c r="D61" s="117"/>
      <c r="E61" s="126"/>
      <c r="F61" s="190"/>
      <c r="G61" s="20"/>
      <c r="H61" s="20"/>
      <c r="I61" s="19"/>
      <c r="J61" s="246" t="str">
        <f t="shared" si="0"/>
        <v/>
      </c>
      <c r="K61" s="7"/>
      <c r="L61" s="97"/>
      <c r="M61" s="257"/>
      <c r="N61" s="253"/>
      <c r="O61" s="246" t="str">
        <f t="shared" si="1"/>
        <v/>
      </c>
      <c r="P61" s="97"/>
      <c r="Q61" s="253"/>
      <c r="R61" s="253"/>
      <c r="S61" s="246" t="str">
        <f t="shared" si="2"/>
        <v/>
      </c>
      <c r="T61" s="97"/>
      <c r="U61" s="253"/>
      <c r="V61" s="253"/>
      <c r="W61" s="246" t="str">
        <f t="shared" si="3"/>
        <v/>
      </c>
      <c r="X61" s="97"/>
      <c r="Y61" s="23"/>
      <c r="Z61" s="23"/>
      <c r="AA61" s="246" t="str">
        <f t="shared" si="4"/>
        <v/>
      </c>
      <c r="AB61" s="97"/>
      <c r="AC61" s="253"/>
      <c r="AD61" s="253"/>
      <c r="AE61" s="246" t="str">
        <f t="shared" si="5"/>
        <v/>
      </c>
      <c r="AF61" s="97"/>
      <c r="AG61" s="253"/>
      <c r="AH61" s="253"/>
      <c r="AI61" s="246" t="str">
        <f t="shared" si="6"/>
        <v/>
      </c>
      <c r="AJ61" s="97"/>
      <c r="AK61" s="253"/>
      <c r="AL61" s="253"/>
      <c r="AM61" s="246" t="str">
        <f t="shared" si="7"/>
        <v/>
      </c>
      <c r="AN61" s="97"/>
      <c r="AO61" s="253"/>
      <c r="AP61" s="253"/>
      <c r="AQ61" s="246" t="str">
        <f t="shared" si="8"/>
        <v/>
      </c>
      <c r="AR61" s="97"/>
      <c r="AS61" s="253"/>
      <c r="AT61" s="253"/>
      <c r="AU61" s="246" t="str">
        <f t="shared" si="9"/>
        <v/>
      </c>
      <c r="AV61" s="97"/>
      <c r="AW61" s="253"/>
      <c r="AX61" s="253"/>
      <c r="AY61" s="246" t="str">
        <f t="shared" si="10"/>
        <v/>
      </c>
      <c r="AZ61" s="97"/>
      <c r="BA61" s="253"/>
      <c r="BB61" s="253"/>
      <c r="BC61" s="246" t="str">
        <f t="shared" si="11"/>
        <v/>
      </c>
      <c r="BD61" s="97"/>
      <c r="BE61" s="253"/>
      <c r="BF61" s="253"/>
      <c r="BG61" s="246" t="str">
        <f t="shared" si="12"/>
        <v/>
      </c>
      <c r="BH61" s="97"/>
      <c r="BI61" s="253"/>
      <c r="BJ61" s="253"/>
      <c r="BK61" s="246" t="str">
        <f t="shared" si="13"/>
        <v/>
      </c>
      <c r="BL61" s="97"/>
      <c r="BM61" s="253"/>
      <c r="BN61" s="253"/>
      <c r="BO61" s="246" t="str">
        <f t="shared" si="14"/>
        <v/>
      </c>
      <c r="BP61" s="97"/>
      <c r="BQ61" s="253"/>
      <c r="BR61" s="253"/>
      <c r="BS61" s="246" t="str">
        <f t="shared" si="15"/>
        <v/>
      </c>
      <c r="BT61" s="97"/>
      <c r="BU61" s="253"/>
      <c r="BV61" s="253"/>
      <c r="BW61" s="246" t="str">
        <f t="shared" si="16"/>
        <v/>
      </c>
    </row>
    <row r="62" spans="1:75">
      <c r="A62" s="88">
        <v>56</v>
      </c>
      <c r="B62" s="50"/>
      <c r="C62" s="62"/>
      <c r="D62" s="117"/>
      <c r="E62" s="126"/>
      <c r="F62" s="190"/>
      <c r="G62" s="20"/>
      <c r="H62" s="20"/>
      <c r="I62" s="19"/>
      <c r="J62" s="246" t="str">
        <f t="shared" si="0"/>
        <v/>
      </c>
      <c r="K62" s="7"/>
      <c r="L62" s="97"/>
      <c r="M62" s="257"/>
      <c r="N62" s="253"/>
      <c r="O62" s="246" t="str">
        <f t="shared" si="1"/>
        <v/>
      </c>
      <c r="P62" s="97"/>
      <c r="Q62" s="253"/>
      <c r="R62" s="253"/>
      <c r="S62" s="246" t="str">
        <f t="shared" si="2"/>
        <v/>
      </c>
      <c r="T62" s="97"/>
      <c r="U62" s="253"/>
      <c r="V62" s="253"/>
      <c r="W62" s="246" t="str">
        <f t="shared" si="3"/>
        <v/>
      </c>
      <c r="X62" s="97"/>
      <c r="Y62" s="23"/>
      <c r="Z62" s="23"/>
      <c r="AA62" s="246" t="str">
        <f t="shared" si="4"/>
        <v/>
      </c>
      <c r="AB62" s="97"/>
      <c r="AC62" s="253"/>
      <c r="AD62" s="253"/>
      <c r="AE62" s="246" t="str">
        <f t="shared" si="5"/>
        <v/>
      </c>
      <c r="AF62" s="97"/>
      <c r="AG62" s="253"/>
      <c r="AH62" s="253"/>
      <c r="AI62" s="246" t="str">
        <f t="shared" si="6"/>
        <v/>
      </c>
      <c r="AJ62" s="97"/>
      <c r="AK62" s="253"/>
      <c r="AL62" s="253"/>
      <c r="AM62" s="246" t="str">
        <f t="shared" si="7"/>
        <v/>
      </c>
      <c r="AN62" s="97"/>
      <c r="AO62" s="253"/>
      <c r="AP62" s="253"/>
      <c r="AQ62" s="246" t="str">
        <f t="shared" si="8"/>
        <v/>
      </c>
      <c r="AR62" s="97"/>
      <c r="AS62" s="253"/>
      <c r="AT62" s="253"/>
      <c r="AU62" s="246" t="str">
        <f t="shared" si="9"/>
        <v/>
      </c>
      <c r="AV62" s="97"/>
      <c r="AW62" s="253"/>
      <c r="AX62" s="253"/>
      <c r="AY62" s="246" t="str">
        <f t="shared" si="10"/>
        <v/>
      </c>
      <c r="AZ62" s="97"/>
      <c r="BA62" s="253"/>
      <c r="BB62" s="253"/>
      <c r="BC62" s="246" t="str">
        <f t="shared" si="11"/>
        <v/>
      </c>
      <c r="BD62" s="97"/>
      <c r="BE62" s="253"/>
      <c r="BF62" s="253"/>
      <c r="BG62" s="246" t="str">
        <f t="shared" si="12"/>
        <v/>
      </c>
      <c r="BH62" s="97"/>
      <c r="BI62" s="253"/>
      <c r="BJ62" s="253"/>
      <c r="BK62" s="246" t="str">
        <f t="shared" si="13"/>
        <v/>
      </c>
      <c r="BL62" s="97"/>
      <c r="BM62" s="253"/>
      <c r="BN62" s="253"/>
      <c r="BO62" s="246" t="str">
        <f t="shared" si="14"/>
        <v/>
      </c>
      <c r="BP62" s="97"/>
      <c r="BQ62" s="253"/>
      <c r="BR62" s="253"/>
      <c r="BS62" s="246" t="str">
        <f t="shared" si="15"/>
        <v/>
      </c>
      <c r="BT62" s="97"/>
      <c r="BU62" s="253"/>
      <c r="BV62" s="253"/>
      <c r="BW62" s="246" t="str">
        <f t="shared" si="16"/>
        <v/>
      </c>
    </row>
    <row r="63" spans="1:75">
      <c r="A63" s="88">
        <v>57</v>
      </c>
      <c r="B63" s="50"/>
      <c r="C63" s="62"/>
      <c r="D63" s="117"/>
      <c r="E63" s="126"/>
      <c r="F63" s="190"/>
      <c r="G63" s="20"/>
      <c r="H63" s="20"/>
      <c r="I63" s="19"/>
      <c r="J63" s="246" t="str">
        <f t="shared" si="0"/>
        <v/>
      </c>
      <c r="K63" s="7"/>
      <c r="L63" s="97"/>
      <c r="M63" s="257"/>
      <c r="N63" s="253"/>
      <c r="O63" s="246" t="str">
        <f t="shared" si="1"/>
        <v/>
      </c>
      <c r="P63" s="97"/>
      <c r="Q63" s="253"/>
      <c r="R63" s="253"/>
      <c r="S63" s="246" t="str">
        <f t="shared" si="2"/>
        <v/>
      </c>
      <c r="T63" s="97"/>
      <c r="U63" s="253"/>
      <c r="V63" s="253"/>
      <c r="W63" s="246" t="str">
        <f t="shared" si="3"/>
        <v/>
      </c>
      <c r="X63" s="97"/>
      <c r="Y63" s="23"/>
      <c r="Z63" s="23"/>
      <c r="AA63" s="246" t="str">
        <f t="shared" si="4"/>
        <v/>
      </c>
      <c r="AB63" s="97"/>
      <c r="AC63" s="253"/>
      <c r="AD63" s="253"/>
      <c r="AE63" s="246" t="str">
        <f t="shared" si="5"/>
        <v/>
      </c>
      <c r="AF63" s="97"/>
      <c r="AG63" s="253"/>
      <c r="AH63" s="253"/>
      <c r="AI63" s="246" t="str">
        <f t="shared" si="6"/>
        <v/>
      </c>
      <c r="AJ63" s="97"/>
      <c r="AK63" s="253"/>
      <c r="AL63" s="253"/>
      <c r="AM63" s="246" t="str">
        <f t="shared" si="7"/>
        <v/>
      </c>
      <c r="AN63" s="97"/>
      <c r="AO63" s="253"/>
      <c r="AP63" s="253"/>
      <c r="AQ63" s="246" t="str">
        <f t="shared" si="8"/>
        <v/>
      </c>
      <c r="AR63" s="97"/>
      <c r="AS63" s="253"/>
      <c r="AT63" s="253"/>
      <c r="AU63" s="246" t="str">
        <f t="shared" si="9"/>
        <v/>
      </c>
      <c r="AV63" s="97"/>
      <c r="AW63" s="253"/>
      <c r="AX63" s="253"/>
      <c r="AY63" s="246" t="str">
        <f t="shared" si="10"/>
        <v/>
      </c>
      <c r="AZ63" s="97"/>
      <c r="BA63" s="253"/>
      <c r="BB63" s="253"/>
      <c r="BC63" s="246" t="str">
        <f t="shared" si="11"/>
        <v/>
      </c>
      <c r="BD63" s="97"/>
      <c r="BE63" s="253"/>
      <c r="BF63" s="253"/>
      <c r="BG63" s="246" t="str">
        <f t="shared" si="12"/>
        <v/>
      </c>
      <c r="BH63" s="97"/>
      <c r="BI63" s="253"/>
      <c r="BJ63" s="253"/>
      <c r="BK63" s="246" t="str">
        <f t="shared" si="13"/>
        <v/>
      </c>
      <c r="BL63" s="97"/>
      <c r="BM63" s="253"/>
      <c r="BN63" s="253"/>
      <c r="BO63" s="246" t="str">
        <f t="shared" si="14"/>
        <v/>
      </c>
      <c r="BP63" s="97"/>
      <c r="BQ63" s="253"/>
      <c r="BR63" s="253"/>
      <c r="BS63" s="246" t="str">
        <f t="shared" si="15"/>
        <v/>
      </c>
      <c r="BT63" s="97"/>
      <c r="BU63" s="253"/>
      <c r="BV63" s="253"/>
      <c r="BW63" s="246" t="str">
        <f t="shared" si="16"/>
        <v/>
      </c>
    </row>
    <row r="64" spans="1:75">
      <c r="A64" s="88">
        <v>58</v>
      </c>
      <c r="B64" s="50"/>
      <c r="C64" s="62"/>
      <c r="D64" s="117"/>
      <c r="E64" s="126"/>
      <c r="F64" s="190"/>
      <c r="G64" s="20"/>
      <c r="H64" s="20"/>
      <c r="I64" s="19"/>
      <c r="J64" s="246" t="str">
        <f t="shared" si="0"/>
        <v/>
      </c>
      <c r="K64" s="7"/>
      <c r="L64" s="97"/>
      <c r="M64" s="257"/>
      <c r="N64" s="253"/>
      <c r="O64" s="246" t="str">
        <f t="shared" si="1"/>
        <v/>
      </c>
      <c r="P64" s="97"/>
      <c r="Q64" s="253"/>
      <c r="R64" s="253"/>
      <c r="S64" s="246" t="str">
        <f t="shared" si="2"/>
        <v/>
      </c>
      <c r="T64" s="97"/>
      <c r="U64" s="253"/>
      <c r="V64" s="253"/>
      <c r="W64" s="246" t="str">
        <f t="shared" si="3"/>
        <v/>
      </c>
      <c r="X64" s="97"/>
      <c r="Y64" s="23"/>
      <c r="Z64" s="23"/>
      <c r="AA64" s="246" t="str">
        <f t="shared" si="4"/>
        <v/>
      </c>
      <c r="AB64" s="97"/>
      <c r="AC64" s="253"/>
      <c r="AD64" s="253"/>
      <c r="AE64" s="246" t="str">
        <f t="shared" si="5"/>
        <v/>
      </c>
      <c r="AF64" s="97"/>
      <c r="AG64" s="253"/>
      <c r="AH64" s="253"/>
      <c r="AI64" s="246" t="str">
        <f t="shared" si="6"/>
        <v/>
      </c>
      <c r="AJ64" s="97"/>
      <c r="AK64" s="253"/>
      <c r="AL64" s="253"/>
      <c r="AM64" s="246" t="str">
        <f t="shared" si="7"/>
        <v/>
      </c>
      <c r="AN64" s="97"/>
      <c r="AO64" s="253"/>
      <c r="AP64" s="253"/>
      <c r="AQ64" s="246" t="str">
        <f t="shared" si="8"/>
        <v/>
      </c>
      <c r="AR64" s="97"/>
      <c r="AS64" s="253"/>
      <c r="AT64" s="253"/>
      <c r="AU64" s="246" t="str">
        <f t="shared" si="9"/>
        <v/>
      </c>
      <c r="AV64" s="97"/>
      <c r="AW64" s="253"/>
      <c r="AX64" s="253"/>
      <c r="AY64" s="246" t="str">
        <f t="shared" si="10"/>
        <v/>
      </c>
      <c r="AZ64" s="97"/>
      <c r="BA64" s="253"/>
      <c r="BB64" s="253"/>
      <c r="BC64" s="246" t="str">
        <f t="shared" si="11"/>
        <v/>
      </c>
      <c r="BD64" s="97"/>
      <c r="BE64" s="253"/>
      <c r="BF64" s="253"/>
      <c r="BG64" s="246" t="str">
        <f t="shared" si="12"/>
        <v/>
      </c>
      <c r="BH64" s="97"/>
      <c r="BI64" s="253"/>
      <c r="BJ64" s="253"/>
      <c r="BK64" s="246" t="str">
        <f t="shared" si="13"/>
        <v/>
      </c>
      <c r="BL64" s="97"/>
      <c r="BM64" s="253"/>
      <c r="BN64" s="253"/>
      <c r="BO64" s="246" t="str">
        <f t="shared" si="14"/>
        <v/>
      </c>
      <c r="BP64" s="97"/>
      <c r="BQ64" s="253"/>
      <c r="BR64" s="253"/>
      <c r="BS64" s="246" t="str">
        <f t="shared" si="15"/>
        <v/>
      </c>
      <c r="BT64" s="97"/>
      <c r="BU64" s="253"/>
      <c r="BV64" s="253"/>
      <c r="BW64" s="246" t="str">
        <f t="shared" si="16"/>
        <v/>
      </c>
    </row>
    <row r="65" spans="1:75">
      <c r="A65" s="88">
        <v>59</v>
      </c>
      <c r="B65" s="50"/>
      <c r="C65" s="62"/>
      <c r="D65" s="117"/>
      <c r="E65" s="126"/>
      <c r="F65" s="190"/>
      <c r="G65" s="20"/>
      <c r="H65" s="20"/>
      <c r="I65" s="19"/>
      <c r="J65" s="246" t="str">
        <f t="shared" si="0"/>
        <v/>
      </c>
      <c r="K65" s="7"/>
      <c r="L65" s="97"/>
      <c r="M65" s="257"/>
      <c r="N65" s="253"/>
      <c r="O65" s="246" t="str">
        <f t="shared" si="1"/>
        <v/>
      </c>
      <c r="P65" s="97"/>
      <c r="Q65" s="253"/>
      <c r="R65" s="253"/>
      <c r="S65" s="246" t="str">
        <f t="shared" si="2"/>
        <v/>
      </c>
      <c r="T65" s="97"/>
      <c r="U65" s="253"/>
      <c r="V65" s="253"/>
      <c r="W65" s="246" t="str">
        <f t="shared" si="3"/>
        <v/>
      </c>
      <c r="X65" s="97"/>
      <c r="Y65" s="23"/>
      <c r="Z65" s="23"/>
      <c r="AA65" s="246" t="str">
        <f t="shared" si="4"/>
        <v/>
      </c>
      <c r="AB65" s="97"/>
      <c r="AC65" s="253"/>
      <c r="AD65" s="253"/>
      <c r="AE65" s="246" t="str">
        <f t="shared" si="5"/>
        <v/>
      </c>
      <c r="AF65" s="97"/>
      <c r="AG65" s="253"/>
      <c r="AH65" s="253"/>
      <c r="AI65" s="246" t="str">
        <f t="shared" si="6"/>
        <v/>
      </c>
      <c r="AJ65" s="97"/>
      <c r="AK65" s="253"/>
      <c r="AL65" s="253"/>
      <c r="AM65" s="246" t="str">
        <f t="shared" si="7"/>
        <v/>
      </c>
      <c r="AN65" s="97"/>
      <c r="AO65" s="253"/>
      <c r="AP65" s="253"/>
      <c r="AQ65" s="246" t="str">
        <f t="shared" si="8"/>
        <v/>
      </c>
      <c r="AR65" s="97"/>
      <c r="AS65" s="253"/>
      <c r="AT65" s="253"/>
      <c r="AU65" s="246" t="str">
        <f t="shared" si="9"/>
        <v/>
      </c>
      <c r="AV65" s="97"/>
      <c r="AW65" s="253"/>
      <c r="AX65" s="253"/>
      <c r="AY65" s="246" t="str">
        <f t="shared" si="10"/>
        <v/>
      </c>
      <c r="AZ65" s="97"/>
      <c r="BA65" s="253"/>
      <c r="BB65" s="253"/>
      <c r="BC65" s="246" t="str">
        <f t="shared" si="11"/>
        <v/>
      </c>
      <c r="BD65" s="97"/>
      <c r="BE65" s="253"/>
      <c r="BF65" s="253"/>
      <c r="BG65" s="246" t="str">
        <f t="shared" si="12"/>
        <v/>
      </c>
      <c r="BH65" s="97"/>
      <c r="BI65" s="253"/>
      <c r="BJ65" s="253"/>
      <c r="BK65" s="246" t="str">
        <f t="shared" si="13"/>
        <v/>
      </c>
      <c r="BL65" s="97"/>
      <c r="BM65" s="253"/>
      <c r="BN65" s="253"/>
      <c r="BO65" s="246" t="str">
        <f t="shared" si="14"/>
        <v/>
      </c>
      <c r="BP65" s="97"/>
      <c r="BQ65" s="253"/>
      <c r="BR65" s="253"/>
      <c r="BS65" s="246" t="str">
        <f t="shared" si="15"/>
        <v/>
      </c>
      <c r="BT65" s="97"/>
      <c r="BU65" s="253"/>
      <c r="BV65" s="253"/>
      <c r="BW65" s="246" t="str">
        <f t="shared" si="16"/>
        <v/>
      </c>
    </row>
    <row r="66" spans="1:75">
      <c r="A66" s="88">
        <v>60</v>
      </c>
      <c r="B66" s="50"/>
      <c r="C66" s="62"/>
      <c r="D66" s="117"/>
      <c r="E66" s="126"/>
      <c r="F66" s="190"/>
      <c r="G66" s="20"/>
      <c r="H66" s="20"/>
      <c r="I66" s="19"/>
      <c r="J66" s="246" t="str">
        <f t="shared" si="0"/>
        <v/>
      </c>
      <c r="K66" s="7"/>
      <c r="L66" s="97"/>
      <c r="M66" s="257"/>
      <c r="N66" s="253"/>
      <c r="O66" s="246" t="str">
        <f t="shared" si="1"/>
        <v/>
      </c>
      <c r="P66" s="97"/>
      <c r="Q66" s="253"/>
      <c r="R66" s="253"/>
      <c r="S66" s="246" t="str">
        <f t="shared" si="2"/>
        <v/>
      </c>
      <c r="T66" s="97"/>
      <c r="U66" s="253"/>
      <c r="V66" s="253"/>
      <c r="W66" s="246" t="str">
        <f t="shared" si="3"/>
        <v/>
      </c>
      <c r="X66" s="97"/>
      <c r="Y66" s="23"/>
      <c r="Z66" s="23"/>
      <c r="AA66" s="246" t="str">
        <f t="shared" si="4"/>
        <v/>
      </c>
      <c r="AB66" s="97"/>
      <c r="AC66" s="253"/>
      <c r="AD66" s="253"/>
      <c r="AE66" s="246" t="str">
        <f t="shared" si="5"/>
        <v/>
      </c>
      <c r="AF66" s="97"/>
      <c r="AG66" s="253"/>
      <c r="AH66" s="253"/>
      <c r="AI66" s="246" t="str">
        <f t="shared" si="6"/>
        <v/>
      </c>
      <c r="AJ66" s="97"/>
      <c r="AK66" s="253"/>
      <c r="AL66" s="253"/>
      <c r="AM66" s="246" t="str">
        <f t="shared" si="7"/>
        <v/>
      </c>
      <c r="AN66" s="97"/>
      <c r="AO66" s="253"/>
      <c r="AP66" s="253"/>
      <c r="AQ66" s="246" t="str">
        <f t="shared" si="8"/>
        <v/>
      </c>
      <c r="AR66" s="97"/>
      <c r="AS66" s="253"/>
      <c r="AT66" s="253"/>
      <c r="AU66" s="246" t="str">
        <f t="shared" si="9"/>
        <v/>
      </c>
      <c r="AV66" s="97"/>
      <c r="AW66" s="253"/>
      <c r="AX66" s="253"/>
      <c r="AY66" s="246" t="str">
        <f t="shared" si="10"/>
        <v/>
      </c>
      <c r="AZ66" s="97"/>
      <c r="BA66" s="253"/>
      <c r="BB66" s="253"/>
      <c r="BC66" s="246" t="str">
        <f t="shared" si="11"/>
        <v/>
      </c>
      <c r="BD66" s="97"/>
      <c r="BE66" s="253"/>
      <c r="BF66" s="253"/>
      <c r="BG66" s="246" t="str">
        <f t="shared" si="12"/>
        <v/>
      </c>
      <c r="BH66" s="97"/>
      <c r="BI66" s="253"/>
      <c r="BJ66" s="253"/>
      <c r="BK66" s="246" t="str">
        <f t="shared" si="13"/>
        <v/>
      </c>
      <c r="BL66" s="97"/>
      <c r="BM66" s="253"/>
      <c r="BN66" s="253"/>
      <c r="BO66" s="246" t="str">
        <f t="shared" si="14"/>
        <v/>
      </c>
      <c r="BP66" s="97"/>
      <c r="BQ66" s="253"/>
      <c r="BR66" s="253"/>
      <c r="BS66" s="246" t="str">
        <f t="shared" si="15"/>
        <v/>
      </c>
      <c r="BT66" s="97"/>
      <c r="BU66" s="253"/>
      <c r="BV66" s="253"/>
      <c r="BW66" s="246" t="str">
        <f t="shared" si="16"/>
        <v/>
      </c>
    </row>
    <row r="67" spans="1:75">
      <c r="A67" s="88">
        <v>61</v>
      </c>
      <c r="B67" s="50"/>
      <c r="C67" s="62"/>
      <c r="D67" s="117"/>
      <c r="E67" s="126"/>
      <c r="F67" s="190"/>
      <c r="G67" s="20"/>
      <c r="H67" s="20"/>
      <c r="I67" s="19"/>
      <c r="J67" s="246" t="str">
        <f t="shared" si="0"/>
        <v/>
      </c>
      <c r="K67" s="7"/>
      <c r="L67" s="97"/>
      <c r="M67" s="257"/>
      <c r="N67" s="253"/>
      <c r="O67" s="246" t="str">
        <f t="shared" si="1"/>
        <v/>
      </c>
      <c r="P67" s="97"/>
      <c r="Q67" s="253"/>
      <c r="R67" s="253"/>
      <c r="S67" s="246" t="str">
        <f t="shared" si="2"/>
        <v/>
      </c>
      <c r="T67" s="97"/>
      <c r="U67" s="253"/>
      <c r="V67" s="253"/>
      <c r="W67" s="246" t="str">
        <f t="shared" si="3"/>
        <v/>
      </c>
      <c r="X67" s="97"/>
      <c r="Y67" s="23"/>
      <c r="Z67" s="23"/>
      <c r="AA67" s="246" t="str">
        <f t="shared" si="4"/>
        <v/>
      </c>
      <c r="AB67" s="97"/>
      <c r="AC67" s="253"/>
      <c r="AD67" s="253"/>
      <c r="AE67" s="246" t="str">
        <f t="shared" si="5"/>
        <v/>
      </c>
      <c r="AF67" s="97"/>
      <c r="AG67" s="253"/>
      <c r="AH67" s="253"/>
      <c r="AI67" s="246" t="str">
        <f t="shared" si="6"/>
        <v/>
      </c>
      <c r="AJ67" s="97"/>
      <c r="AK67" s="253"/>
      <c r="AL67" s="253"/>
      <c r="AM67" s="246" t="str">
        <f t="shared" si="7"/>
        <v/>
      </c>
      <c r="AN67" s="97"/>
      <c r="AO67" s="253"/>
      <c r="AP67" s="253"/>
      <c r="AQ67" s="246" t="str">
        <f t="shared" si="8"/>
        <v/>
      </c>
      <c r="AR67" s="97"/>
      <c r="AS67" s="253"/>
      <c r="AT67" s="253"/>
      <c r="AU67" s="246" t="str">
        <f t="shared" si="9"/>
        <v/>
      </c>
      <c r="AV67" s="97"/>
      <c r="AW67" s="253"/>
      <c r="AX67" s="253"/>
      <c r="AY67" s="246" t="str">
        <f t="shared" si="10"/>
        <v/>
      </c>
      <c r="AZ67" s="97"/>
      <c r="BA67" s="253"/>
      <c r="BB67" s="253"/>
      <c r="BC67" s="246" t="str">
        <f t="shared" si="11"/>
        <v/>
      </c>
      <c r="BD67" s="97"/>
      <c r="BE67" s="253"/>
      <c r="BF67" s="253"/>
      <c r="BG67" s="246" t="str">
        <f t="shared" si="12"/>
        <v/>
      </c>
      <c r="BH67" s="97"/>
      <c r="BI67" s="253"/>
      <c r="BJ67" s="253"/>
      <c r="BK67" s="246" t="str">
        <f t="shared" si="13"/>
        <v/>
      </c>
      <c r="BL67" s="97"/>
      <c r="BM67" s="253"/>
      <c r="BN67" s="253"/>
      <c r="BO67" s="246" t="str">
        <f t="shared" si="14"/>
        <v/>
      </c>
      <c r="BP67" s="97"/>
      <c r="BQ67" s="253"/>
      <c r="BR67" s="253"/>
      <c r="BS67" s="246" t="str">
        <f t="shared" si="15"/>
        <v/>
      </c>
      <c r="BT67" s="97"/>
      <c r="BU67" s="253"/>
      <c r="BV67" s="253"/>
      <c r="BW67" s="246" t="str">
        <f t="shared" si="16"/>
        <v/>
      </c>
    </row>
    <row r="68" spans="1:75">
      <c r="A68" s="88">
        <v>62</v>
      </c>
      <c r="B68" s="50"/>
      <c r="C68" s="62"/>
      <c r="D68" s="117"/>
      <c r="E68" s="126"/>
      <c r="F68" s="190"/>
      <c r="G68" s="20"/>
      <c r="H68" s="20"/>
      <c r="I68" s="19"/>
      <c r="J68" s="246" t="str">
        <f t="shared" si="0"/>
        <v/>
      </c>
      <c r="K68" s="7"/>
      <c r="L68" s="97"/>
      <c r="M68" s="257"/>
      <c r="N68" s="253"/>
      <c r="O68" s="246" t="str">
        <f t="shared" si="1"/>
        <v/>
      </c>
      <c r="P68" s="97"/>
      <c r="Q68" s="253"/>
      <c r="R68" s="253"/>
      <c r="S68" s="246" t="str">
        <f t="shared" si="2"/>
        <v/>
      </c>
      <c r="T68" s="97"/>
      <c r="U68" s="253"/>
      <c r="V68" s="253"/>
      <c r="W68" s="246" t="str">
        <f t="shared" si="3"/>
        <v/>
      </c>
      <c r="X68" s="97"/>
      <c r="Y68" s="23"/>
      <c r="Z68" s="23"/>
      <c r="AA68" s="246" t="str">
        <f t="shared" si="4"/>
        <v/>
      </c>
      <c r="AB68" s="97"/>
      <c r="AC68" s="253"/>
      <c r="AD68" s="253"/>
      <c r="AE68" s="246" t="str">
        <f t="shared" si="5"/>
        <v/>
      </c>
      <c r="AF68" s="97"/>
      <c r="AG68" s="253"/>
      <c r="AH68" s="253"/>
      <c r="AI68" s="246" t="str">
        <f t="shared" si="6"/>
        <v/>
      </c>
      <c r="AJ68" s="97"/>
      <c r="AK68" s="253"/>
      <c r="AL68" s="253"/>
      <c r="AM68" s="246" t="str">
        <f t="shared" si="7"/>
        <v/>
      </c>
      <c r="AN68" s="97"/>
      <c r="AO68" s="253"/>
      <c r="AP68" s="253"/>
      <c r="AQ68" s="246" t="str">
        <f t="shared" si="8"/>
        <v/>
      </c>
      <c r="AR68" s="97"/>
      <c r="AS68" s="253"/>
      <c r="AT68" s="253"/>
      <c r="AU68" s="246" t="str">
        <f t="shared" si="9"/>
        <v/>
      </c>
      <c r="AV68" s="97"/>
      <c r="AW68" s="253"/>
      <c r="AX68" s="253"/>
      <c r="AY68" s="246" t="str">
        <f t="shared" si="10"/>
        <v/>
      </c>
      <c r="AZ68" s="97"/>
      <c r="BA68" s="253"/>
      <c r="BB68" s="253"/>
      <c r="BC68" s="246" t="str">
        <f t="shared" si="11"/>
        <v/>
      </c>
      <c r="BD68" s="97"/>
      <c r="BE68" s="253"/>
      <c r="BF68" s="253"/>
      <c r="BG68" s="246" t="str">
        <f t="shared" si="12"/>
        <v/>
      </c>
      <c r="BH68" s="97"/>
      <c r="BI68" s="253"/>
      <c r="BJ68" s="253"/>
      <c r="BK68" s="246" t="str">
        <f t="shared" si="13"/>
        <v/>
      </c>
      <c r="BL68" s="97"/>
      <c r="BM68" s="253"/>
      <c r="BN68" s="253"/>
      <c r="BO68" s="246" t="str">
        <f t="shared" si="14"/>
        <v/>
      </c>
      <c r="BP68" s="97"/>
      <c r="BQ68" s="253"/>
      <c r="BR68" s="253"/>
      <c r="BS68" s="246" t="str">
        <f t="shared" si="15"/>
        <v/>
      </c>
      <c r="BT68" s="97"/>
      <c r="BU68" s="253"/>
      <c r="BV68" s="253"/>
      <c r="BW68" s="246" t="str">
        <f t="shared" si="16"/>
        <v/>
      </c>
    </row>
    <row r="69" spans="1:75">
      <c r="A69" s="88">
        <v>63</v>
      </c>
      <c r="B69" s="50"/>
      <c r="C69" s="62"/>
      <c r="D69" s="117"/>
      <c r="E69" s="126"/>
      <c r="F69" s="190"/>
      <c r="G69" s="20"/>
      <c r="H69" s="20"/>
      <c r="I69" s="19"/>
      <c r="J69" s="246" t="str">
        <f t="shared" si="0"/>
        <v/>
      </c>
      <c r="K69" s="7"/>
      <c r="L69" s="97"/>
      <c r="M69" s="257"/>
      <c r="N69" s="253"/>
      <c r="O69" s="246" t="str">
        <f t="shared" si="1"/>
        <v/>
      </c>
      <c r="P69" s="97"/>
      <c r="Q69" s="253"/>
      <c r="R69" s="253"/>
      <c r="S69" s="246" t="str">
        <f t="shared" si="2"/>
        <v/>
      </c>
      <c r="T69" s="97"/>
      <c r="U69" s="253"/>
      <c r="V69" s="253"/>
      <c r="W69" s="246" t="str">
        <f t="shared" si="3"/>
        <v/>
      </c>
      <c r="X69" s="97"/>
      <c r="Y69" s="23"/>
      <c r="Z69" s="23"/>
      <c r="AA69" s="246" t="str">
        <f t="shared" si="4"/>
        <v/>
      </c>
      <c r="AB69" s="97"/>
      <c r="AC69" s="253"/>
      <c r="AD69" s="253"/>
      <c r="AE69" s="246" t="str">
        <f t="shared" si="5"/>
        <v/>
      </c>
      <c r="AF69" s="97"/>
      <c r="AG69" s="253"/>
      <c r="AH69" s="253"/>
      <c r="AI69" s="246" t="str">
        <f t="shared" si="6"/>
        <v/>
      </c>
      <c r="AJ69" s="97"/>
      <c r="AK69" s="253"/>
      <c r="AL69" s="253"/>
      <c r="AM69" s="246" t="str">
        <f t="shared" si="7"/>
        <v/>
      </c>
      <c r="AN69" s="97"/>
      <c r="AO69" s="253"/>
      <c r="AP69" s="253"/>
      <c r="AQ69" s="246" t="str">
        <f t="shared" si="8"/>
        <v/>
      </c>
      <c r="AR69" s="97"/>
      <c r="AS69" s="253"/>
      <c r="AT69" s="253"/>
      <c r="AU69" s="246" t="str">
        <f t="shared" si="9"/>
        <v/>
      </c>
      <c r="AV69" s="97"/>
      <c r="AW69" s="253"/>
      <c r="AX69" s="253"/>
      <c r="AY69" s="246" t="str">
        <f t="shared" si="10"/>
        <v/>
      </c>
      <c r="AZ69" s="97"/>
      <c r="BA69" s="253"/>
      <c r="BB69" s="253"/>
      <c r="BC69" s="246" t="str">
        <f t="shared" si="11"/>
        <v/>
      </c>
      <c r="BD69" s="97"/>
      <c r="BE69" s="253"/>
      <c r="BF69" s="253"/>
      <c r="BG69" s="246" t="str">
        <f t="shared" si="12"/>
        <v/>
      </c>
      <c r="BH69" s="97"/>
      <c r="BI69" s="253"/>
      <c r="BJ69" s="253"/>
      <c r="BK69" s="246" t="str">
        <f t="shared" si="13"/>
        <v/>
      </c>
      <c r="BL69" s="97"/>
      <c r="BM69" s="253"/>
      <c r="BN69" s="253"/>
      <c r="BO69" s="246" t="str">
        <f t="shared" si="14"/>
        <v/>
      </c>
      <c r="BP69" s="97"/>
      <c r="BQ69" s="253"/>
      <c r="BR69" s="253"/>
      <c r="BS69" s="246" t="str">
        <f t="shared" si="15"/>
        <v/>
      </c>
      <c r="BT69" s="97"/>
      <c r="BU69" s="253"/>
      <c r="BV69" s="253"/>
      <c r="BW69" s="246" t="str">
        <f t="shared" si="16"/>
        <v/>
      </c>
    </row>
    <row r="70" spans="1:75">
      <c r="A70" s="88">
        <v>64</v>
      </c>
      <c r="B70" s="50"/>
      <c r="C70" s="62"/>
      <c r="D70" s="117"/>
      <c r="E70" s="126"/>
      <c r="F70" s="190"/>
      <c r="G70" s="20"/>
      <c r="H70" s="20"/>
      <c r="I70" s="19"/>
      <c r="J70" s="246" t="str">
        <f t="shared" si="0"/>
        <v/>
      </c>
      <c r="K70" s="7"/>
      <c r="L70" s="97"/>
      <c r="M70" s="257"/>
      <c r="N70" s="253"/>
      <c r="O70" s="246" t="str">
        <f t="shared" si="1"/>
        <v/>
      </c>
      <c r="P70" s="97"/>
      <c r="Q70" s="253"/>
      <c r="R70" s="253"/>
      <c r="S70" s="246" t="str">
        <f t="shared" si="2"/>
        <v/>
      </c>
      <c r="T70" s="97"/>
      <c r="U70" s="253"/>
      <c r="V70" s="253"/>
      <c r="W70" s="246" t="str">
        <f t="shared" si="3"/>
        <v/>
      </c>
      <c r="X70" s="97"/>
      <c r="Y70" s="23"/>
      <c r="Z70" s="23"/>
      <c r="AA70" s="246" t="str">
        <f t="shared" si="4"/>
        <v/>
      </c>
      <c r="AB70" s="97"/>
      <c r="AC70" s="253"/>
      <c r="AD70" s="253"/>
      <c r="AE70" s="246" t="str">
        <f t="shared" si="5"/>
        <v/>
      </c>
      <c r="AF70" s="97"/>
      <c r="AG70" s="253"/>
      <c r="AH70" s="253"/>
      <c r="AI70" s="246" t="str">
        <f t="shared" si="6"/>
        <v/>
      </c>
      <c r="AJ70" s="97"/>
      <c r="AK70" s="253"/>
      <c r="AL70" s="253"/>
      <c r="AM70" s="246" t="str">
        <f t="shared" si="7"/>
        <v/>
      </c>
      <c r="AN70" s="97"/>
      <c r="AO70" s="253"/>
      <c r="AP70" s="253"/>
      <c r="AQ70" s="246" t="str">
        <f t="shared" si="8"/>
        <v/>
      </c>
      <c r="AR70" s="97"/>
      <c r="AS70" s="253"/>
      <c r="AT70" s="253"/>
      <c r="AU70" s="246" t="str">
        <f t="shared" si="9"/>
        <v/>
      </c>
      <c r="AV70" s="97"/>
      <c r="AW70" s="253"/>
      <c r="AX70" s="253"/>
      <c r="AY70" s="246" t="str">
        <f t="shared" si="10"/>
        <v/>
      </c>
      <c r="AZ70" s="97"/>
      <c r="BA70" s="253"/>
      <c r="BB70" s="253"/>
      <c r="BC70" s="246" t="str">
        <f t="shared" si="11"/>
        <v/>
      </c>
      <c r="BD70" s="97"/>
      <c r="BE70" s="253"/>
      <c r="BF70" s="253"/>
      <c r="BG70" s="246" t="str">
        <f t="shared" si="12"/>
        <v/>
      </c>
      <c r="BH70" s="97"/>
      <c r="BI70" s="253"/>
      <c r="BJ70" s="253"/>
      <c r="BK70" s="246" t="str">
        <f t="shared" si="13"/>
        <v/>
      </c>
      <c r="BL70" s="97"/>
      <c r="BM70" s="253"/>
      <c r="BN70" s="253"/>
      <c r="BO70" s="246" t="str">
        <f t="shared" si="14"/>
        <v/>
      </c>
      <c r="BP70" s="97"/>
      <c r="BQ70" s="253"/>
      <c r="BR70" s="253"/>
      <c r="BS70" s="246" t="str">
        <f t="shared" si="15"/>
        <v/>
      </c>
      <c r="BT70" s="97"/>
      <c r="BU70" s="253"/>
      <c r="BV70" s="253"/>
      <c r="BW70" s="246" t="str">
        <f t="shared" si="16"/>
        <v/>
      </c>
    </row>
    <row r="71" spans="1:75">
      <c r="A71" s="88">
        <v>65</v>
      </c>
      <c r="B71" s="50"/>
      <c r="C71" s="62"/>
      <c r="D71" s="117"/>
      <c r="E71" s="126"/>
      <c r="F71" s="191"/>
      <c r="G71" s="20"/>
      <c r="H71" s="20"/>
      <c r="I71" s="19"/>
      <c r="J71" s="246" t="str">
        <f t="shared" si="0"/>
        <v/>
      </c>
      <c r="K71" s="7"/>
      <c r="L71" s="97"/>
      <c r="M71" s="257"/>
      <c r="N71" s="253"/>
      <c r="O71" s="246" t="str">
        <f t="shared" si="1"/>
        <v/>
      </c>
      <c r="P71" s="97"/>
      <c r="Q71" s="253"/>
      <c r="R71" s="253"/>
      <c r="S71" s="246" t="str">
        <f t="shared" si="2"/>
        <v/>
      </c>
      <c r="T71" s="97"/>
      <c r="U71" s="253"/>
      <c r="V71" s="253"/>
      <c r="W71" s="246" t="str">
        <f t="shared" si="3"/>
        <v/>
      </c>
      <c r="X71" s="97"/>
      <c r="Y71" s="23"/>
      <c r="Z71" s="23"/>
      <c r="AA71" s="246" t="str">
        <f t="shared" si="4"/>
        <v/>
      </c>
      <c r="AB71" s="97"/>
      <c r="AC71" s="253"/>
      <c r="AD71" s="253"/>
      <c r="AE71" s="246" t="str">
        <f t="shared" si="5"/>
        <v/>
      </c>
      <c r="AF71" s="97"/>
      <c r="AG71" s="253"/>
      <c r="AH71" s="253"/>
      <c r="AI71" s="246" t="str">
        <f t="shared" si="6"/>
        <v/>
      </c>
      <c r="AJ71" s="97"/>
      <c r="AK71" s="253"/>
      <c r="AL71" s="253"/>
      <c r="AM71" s="246" t="str">
        <f t="shared" si="7"/>
        <v/>
      </c>
      <c r="AN71" s="97"/>
      <c r="AO71" s="253"/>
      <c r="AP71" s="253"/>
      <c r="AQ71" s="246" t="str">
        <f t="shared" si="8"/>
        <v/>
      </c>
      <c r="AR71" s="97"/>
      <c r="AS71" s="253"/>
      <c r="AT71" s="253"/>
      <c r="AU71" s="246" t="str">
        <f t="shared" si="9"/>
        <v/>
      </c>
      <c r="AV71" s="97"/>
      <c r="AW71" s="253"/>
      <c r="AX71" s="253"/>
      <c r="AY71" s="246" t="str">
        <f t="shared" si="10"/>
        <v/>
      </c>
      <c r="AZ71" s="97"/>
      <c r="BA71" s="253"/>
      <c r="BB71" s="253"/>
      <c r="BC71" s="246" t="str">
        <f t="shared" si="11"/>
        <v/>
      </c>
      <c r="BD71" s="97"/>
      <c r="BE71" s="253"/>
      <c r="BF71" s="253"/>
      <c r="BG71" s="246" t="str">
        <f t="shared" si="12"/>
        <v/>
      </c>
      <c r="BH71" s="97"/>
      <c r="BI71" s="253"/>
      <c r="BJ71" s="253"/>
      <c r="BK71" s="246" t="str">
        <f t="shared" si="13"/>
        <v/>
      </c>
      <c r="BL71" s="97"/>
      <c r="BM71" s="253"/>
      <c r="BN71" s="253"/>
      <c r="BO71" s="246" t="str">
        <f t="shared" si="14"/>
        <v/>
      </c>
      <c r="BP71" s="97"/>
      <c r="BQ71" s="253"/>
      <c r="BR71" s="253"/>
      <c r="BS71" s="246" t="str">
        <f t="shared" si="15"/>
        <v/>
      </c>
      <c r="BT71" s="97"/>
      <c r="BU71" s="253"/>
      <c r="BV71" s="253"/>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3"/>
      <c r="O72" s="246" t="str">
        <f t="shared" ref="O72:O81" si="18">IF($M$4="","",IF(K$4="","",IF($C72="","",IF(AND($B72="",M72=""),"*",IF(AND($B72="v",NOT(M72="")),"*",IF(AND($B72="",NOT(M72="")),"",IF(AND($B72="v",M72=""),"")))))))</f>
        <v/>
      </c>
      <c r="P72" s="97"/>
      <c r="Q72" s="253"/>
      <c r="R72" s="253"/>
      <c r="S72" s="246" t="str">
        <f t="shared" ref="S72:S82" si="19">IF($Q$4="","",IF(O$4="","",IF($C72="","",IF(AND($B72="",Q72=""),"*",IF(AND($B72="v",NOT(Q72="")),"*",IF(AND($B72="",NOT(Q72="")),"",IF(AND($B72="v",Q72=""),"")))))))</f>
        <v/>
      </c>
      <c r="T72" s="97"/>
      <c r="U72" s="253"/>
      <c r="V72" s="253"/>
      <c r="W72" s="246" t="str">
        <f t="shared" ref="W72:W82" si="20">IF($U$4="","",IF(S$4="","",IF($C72="","",IF(AND($B72="",U72=""),"*",IF(AND($B72="v",NOT(U72="")),"*",IF(AND($B72="",NOT(U72="")),"",IF(AND($B72="v",U72=""),"")))))))</f>
        <v/>
      </c>
      <c r="X72" s="97"/>
      <c r="Y72" s="23"/>
      <c r="Z72" s="23"/>
      <c r="AA72" s="246" t="str">
        <f t="shared" ref="AA72:AA82" si="21">IF($Y$4="","",IF(W$4="","",IF($C72="","",IF(AND($B72="",Y72=""),"*",IF(AND($B72="v",NOT(Y72="")),"*",IF(AND($B72="",NOT(Y72="")),"",IF(AND($B72="v",Y72=""),"")))))))</f>
        <v/>
      </c>
      <c r="AB72" s="97"/>
      <c r="AC72" s="253"/>
      <c r="AD72" s="253"/>
      <c r="AE72" s="246" t="str">
        <f t="shared" ref="AE72:AE82" si="22">IF($AC$4="","",IF(AA$4="","",IF($C72="","",IF(AND($B72="",AC72=""),"*",IF(AND($B72="v",NOT(AC72="")),"*",IF(AND($B72="",NOT(AC72="")),"",IF(AND($B72="v",AC72=""),"")))))))</f>
        <v/>
      </c>
      <c r="AF72" s="97"/>
      <c r="AG72" s="253"/>
      <c r="AH72" s="253"/>
      <c r="AI72" s="246" t="str">
        <f t="shared" ref="AI72:AI82" si="23">IF($AG$4="","",IF(AE$4="","",IF($C72="","",IF(AND($B72="",AG72=""),"*",IF(AND($B72="v",NOT(AG72="")),"*",IF(AND($B72="",NOT(AG72="")),"",IF(AND($B72="v",AG72=""),"")))))))</f>
        <v/>
      </c>
      <c r="AJ72" s="97"/>
      <c r="AK72" s="253"/>
      <c r="AL72" s="253"/>
      <c r="AM72" s="246" t="str">
        <f t="shared" ref="AM72:AM82" si="24">IF($AK$4="","",IF(AI$4="","",IF($C72="","",IF(AND($B72="",AK72=""),"*",IF(AND($B72="v",NOT(AK72="")),"*",IF(AND($B72="",NOT(AK72="")),"",IF(AND($B72="v",AK72=""),"")))))))</f>
        <v/>
      </c>
      <c r="AN72" s="97"/>
      <c r="AO72" s="253"/>
      <c r="AP72" s="253"/>
      <c r="AQ72" s="246" t="str">
        <f t="shared" ref="AQ72:AQ82" si="25">IF($AO$4="","",IF(AM$4="","",IF($C72="","",IF(AND($B72="",AO72=""),"*",IF(AND($B72="v",NOT(AO72="")),"*",IF(AND($B72="",NOT(AO72="")),"",IF(AND($B72="v",AO72=""),"")))))))</f>
        <v/>
      </c>
      <c r="AR72" s="97"/>
      <c r="AS72" s="253"/>
      <c r="AT72" s="253"/>
      <c r="AU72" s="246" t="str">
        <f t="shared" ref="AU72:AU82" si="26">IF($AS$4="","",IF(AQ$4="","",IF($C72="","",IF(AND($B72="",AS72=""),"*",IF(AND($B72="v",NOT(AS72="")),"*",IF(AND($B72="",NOT(AS72="")),"",IF(AND($B72="v",AS72=""),"")))))))</f>
        <v/>
      </c>
      <c r="AV72" s="97"/>
      <c r="AW72" s="253"/>
      <c r="AX72" s="253"/>
      <c r="AY72" s="246" t="str">
        <f t="shared" ref="AY72:AY81" si="27">IF($AW$4="","",IF(AU$4="","",IF($C72="","",IF(AND($B72="",AW72=""),"*",IF(AND($B72="v",NOT(AW72="")),"*",IF(AND($B72="",NOT(AW72="")),"",IF(AND($B72="v",AW72=""),"")))))))</f>
        <v/>
      </c>
      <c r="AZ72" s="97"/>
      <c r="BA72" s="253"/>
      <c r="BB72" s="253"/>
      <c r="BC72" s="246" t="str">
        <f t="shared" ref="BC72:BC82" si="28">IF($BA$4="","",IF(AY$4="","",IF($C72="","",IF(AND($B72="",BA72=""),"*",IF(AND($B72="v",NOT(BA72="")),"*",IF(AND($B72="",NOT(BA72="")),"",IF(AND($B72="v",BA72=""),"")))))))</f>
        <v/>
      </c>
      <c r="BD72" s="97"/>
      <c r="BE72" s="253"/>
      <c r="BF72" s="253"/>
      <c r="BG72" s="246" t="str">
        <f t="shared" ref="BG72:BG82" si="29">IF($BE$4="","",IF(BC$4="","",IF($C72="","",IF(AND($B72="",BE72=""),"*",IF(AND($B72="v",NOT(BE72="")),"*",IF(AND($B72="",NOT(BE72="")),"",IF(AND($B72="v",BE72=""),"")))))))</f>
        <v/>
      </c>
      <c r="BH72" s="97"/>
      <c r="BI72" s="253"/>
      <c r="BJ72" s="253"/>
      <c r="BK72" s="246" t="str">
        <f t="shared" ref="BK72:BK82" si="30">IF($BI$4="","",IF(BG$4="","",IF($C72="","",IF(AND($B72="",BI72=""),"*",IF(AND($B72="v",NOT(BI72="")),"*",IF(AND($B72="",NOT(BI72="")),"",IF(AND($B72="v",BI72=""),"")))))))</f>
        <v/>
      </c>
      <c r="BL72" s="97"/>
      <c r="BM72" s="253"/>
      <c r="BN72" s="253"/>
      <c r="BO72" s="246" t="str">
        <f t="shared" ref="BO72:BO81" si="31">IF($BM$4="","",IF(BK$4="","",IF($C72="","",IF(AND($B72="",BM72=""),"*",IF(AND($B72="v",NOT(BM72="")),"*",IF(AND($B72="",NOT(BM72="")),"",IF(AND($B72="v",BM72=""),"")))))))</f>
        <v/>
      </c>
      <c r="BP72" s="97"/>
      <c r="BQ72" s="253"/>
      <c r="BR72" s="253"/>
      <c r="BS72" s="246" t="str">
        <f t="shared" ref="BS72:BS81" si="32">IF($BQ$4="","",IF(BO$4="","",IF($C72="","",IF(AND($B72="",BQ72=""),"*",IF(AND($B72="v",NOT(BQ72="")),"*",IF(AND($B72="",NOT(BQ72="")),"",IF(AND($B72="v",BQ72=""),"")))))))</f>
        <v/>
      </c>
      <c r="BT72" s="97"/>
      <c r="BU72" s="253"/>
      <c r="BV72" s="253"/>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3"/>
      <c r="O73" s="246" t="str">
        <f t="shared" si="18"/>
        <v/>
      </c>
      <c r="P73" s="97"/>
      <c r="Q73" s="253"/>
      <c r="R73" s="253"/>
      <c r="S73" s="246" t="str">
        <f t="shared" si="19"/>
        <v/>
      </c>
      <c r="T73" s="97"/>
      <c r="U73" s="253"/>
      <c r="V73" s="253"/>
      <c r="W73" s="246" t="str">
        <f t="shared" si="20"/>
        <v/>
      </c>
      <c r="X73" s="97"/>
      <c r="Y73" s="23"/>
      <c r="Z73" s="23"/>
      <c r="AA73" s="246" t="str">
        <f t="shared" si="21"/>
        <v/>
      </c>
      <c r="AB73" s="97"/>
      <c r="AC73" s="253"/>
      <c r="AD73" s="253"/>
      <c r="AE73" s="246" t="str">
        <f t="shared" si="22"/>
        <v/>
      </c>
      <c r="AF73" s="97"/>
      <c r="AG73" s="253"/>
      <c r="AH73" s="253"/>
      <c r="AI73" s="246" t="str">
        <f t="shared" si="23"/>
        <v/>
      </c>
      <c r="AJ73" s="97"/>
      <c r="AK73" s="253"/>
      <c r="AL73" s="253"/>
      <c r="AM73" s="246" t="str">
        <f t="shared" si="24"/>
        <v/>
      </c>
      <c r="AN73" s="97"/>
      <c r="AO73" s="253"/>
      <c r="AP73" s="253"/>
      <c r="AQ73" s="246" t="str">
        <f t="shared" si="25"/>
        <v/>
      </c>
      <c r="AR73" s="97"/>
      <c r="AS73" s="253"/>
      <c r="AT73" s="253"/>
      <c r="AU73" s="246" t="str">
        <f t="shared" si="26"/>
        <v/>
      </c>
      <c r="AV73" s="97"/>
      <c r="AW73" s="253"/>
      <c r="AX73" s="253"/>
      <c r="AY73" s="246" t="str">
        <f t="shared" si="27"/>
        <v/>
      </c>
      <c r="AZ73" s="97"/>
      <c r="BA73" s="253"/>
      <c r="BB73" s="253"/>
      <c r="BC73" s="246" t="str">
        <f t="shared" si="28"/>
        <v/>
      </c>
      <c r="BD73" s="97"/>
      <c r="BE73" s="253"/>
      <c r="BF73" s="253"/>
      <c r="BG73" s="246" t="str">
        <f t="shared" si="29"/>
        <v/>
      </c>
      <c r="BH73" s="97"/>
      <c r="BI73" s="253"/>
      <c r="BJ73" s="253"/>
      <c r="BK73" s="246" t="str">
        <f t="shared" si="30"/>
        <v/>
      </c>
      <c r="BL73" s="97"/>
      <c r="BM73" s="253"/>
      <c r="BN73" s="253"/>
      <c r="BO73" s="246" t="str">
        <f t="shared" si="31"/>
        <v/>
      </c>
      <c r="BP73" s="97"/>
      <c r="BQ73" s="253"/>
      <c r="BR73" s="253"/>
      <c r="BS73" s="246" t="str">
        <f t="shared" si="32"/>
        <v/>
      </c>
      <c r="BT73" s="97"/>
      <c r="BU73" s="253"/>
      <c r="BV73" s="253"/>
      <c r="BW73" s="246" t="str">
        <f t="shared" si="33"/>
        <v/>
      </c>
    </row>
    <row r="74" spans="1:75">
      <c r="A74" s="88">
        <v>68</v>
      </c>
      <c r="B74" s="50"/>
      <c r="C74" s="62"/>
      <c r="D74" s="117"/>
      <c r="E74" s="126"/>
      <c r="F74" s="190"/>
      <c r="G74" s="20"/>
      <c r="H74" s="20"/>
      <c r="I74" s="19"/>
      <c r="J74" s="246" t="str">
        <f t="shared" si="17"/>
        <v/>
      </c>
      <c r="K74" s="7"/>
      <c r="L74" s="97"/>
      <c r="M74" s="257"/>
      <c r="N74" s="253"/>
      <c r="O74" s="246" t="str">
        <f t="shared" si="18"/>
        <v/>
      </c>
      <c r="P74" s="97"/>
      <c r="Q74" s="253"/>
      <c r="R74" s="253"/>
      <c r="S74" s="246" t="str">
        <f t="shared" si="19"/>
        <v/>
      </c>
      <c r="T74" s="97"/>
      <c r="U74" s="253"/>
      <c r="V74" s="253"/>
      <c r="W74" s="246" t="str">
        <f t="shared" si="20"/>
        <v/>
      </c>
      <c r="X74" s="97"/>
      <c r="Y74" s="23"/>
      <c r="Z74" s="23"/>
      <c r="AA74" s="246" t="str">
        <f t="shared" si="21"/>
        <v/>
      </c>
      <c r="AB74" s="97"/>
      <c r="AC74" s="253"/>
      <c r="AD74" s="253"/>
      <c r="AE74" s="246" t="str">
        <f t="shared" si="22"/>
        <v/>
      </c>
      <c r="AF74" s="97"/>
      <c r="AG74" s="253"/>
      <c r="AH74" s="253"/>
      <c r="AI74" s="246" t="str">
        <f t="shared" si="23"/>
        <v/>
      </c>
      <c r="AJ74" s="97"/>
      <c r="AK74" s="253"/>
      <c r="AL74" s="253"/>
      <c r="AM74" s="246" t="str">
        <f t="shared" si="24"/>
        <v/>
      </c>
      <c r="AN74" s="97"/>
      <c r="AO74" s="253"/>
      <c r="AP74" s="253"/>
      <c r="AQ74" s="246" t="str">
        <f t="shared" si="25"/>
        <v/>
      </c>
      <c r="AR74" s="97"/>
      <c r="AS74" s="253"/>
      <c r="AT74" s="253"/>
      <c r="AU74" s="246" t="str">
        <f t="shared" si="26"/>
        <v/>
      </c>
      <c r="AV74" s="97"/>
      <c r="AW74" s="253"/>
      <c r="AX74" s="253"/>
      <c r="AY74" s="246" t="str">
        <f t="shared" si="27"/>
        <v/>
      </c>
      <c r="AZ74" s="97"/>
      <c r="BA74" s="253"/>
      <c r="BB74" s="253"/>
      <c r="BC74" s="246" t="str">
        <f t="shared" si="28"/>
        <v/>
      </c>
      <c r="BD74" s="97"/>
      <c r="BE74" s="253"/>
      <c r="BF74" s="253"/>
      <c r="BG74" s="246" t="str">
        <f t="shared" si="29"/>
        <v/>
      </c>
      <c r="BH74" s="97"/>
      <c r="BI74" s="253"/>
      <c r="BJ74" s="253"/>
      <c r="BK74" s="246" t="str">
        <f t="shared" si="30"/>
        <v/>
      </c>
      <c r="BL74" s="97"/>
      <c r="BM74" s="253"/>
      <c r="BN74" s="253"/>
      <c r="BO74" s="246" t="str">
        <f t="shared" si="31"/>
        <v/>
      </c>
      <c r="BP74" s="97"/>
      <c r="BQ74" s="253"/>
      <c r="BR74" s="253"/>
      <c r="BS74" s="246" t="str">
        <f t="shared" si="32"/>
        <v/>
      </c>
      <c r="BT74" s="97"/>
      <c r="BU74" s="253"/>
      <c r="BV74" s="253"/>
      <c r="BW74" s="246" t="str">
        <f t="shared" si="33"/>
        <v/>
      </c>
    </row>
    <row r="75" spans="1:75">
      <c r="A75" s="88">
        <v>69</v>
      </c>
      <c r="B75" s="50"/>
      <c r="C75" s="62"/>
      <c r="D75" s="117"/>
      <c r="E75" s="126"/>
      <c r="F75" s="190"/>
      <c r="G75" s="20"/>
      <c r="H75" s="20"/>
      <c r="I75" s="19"/>
      <c r="J75" s="246" t="str">
        <f t="shared" si="17"/>
        <v/>
      </c>
      <c r="K75" s="7"/>
      <c r="L75" s="97"/>
      <c r="M75" s="257"/>
      <c r="N75" s="253"/>
      <c r="O75" s="246" t="str">
        <f t="shared" si="18"/>
        <v/>
      </c>
      <c r="P75" s="97"/>
      <c r="Q75" s="253"/>
      <c r="R75" s="253"/>
      <c r="S75" s="246" t="str">
        <f t="shared" si="19"/>
        <v/>
      </c>
      <c r="T75" s="97"/>
      <c r="U75" s="253"/>
      <c r="V75" s="253"/>
      <c r="W75" s="246" t="str">
        <f t="shared" si="20"/>
        <v/>
      </c>
      <c r="X75" s="97"/>
      <c r="Y75" s="23"/>
      <c r="Z75" s="23"/>
      <c r="AA75" s="246" t="str">
        <f t="shared" si="21"/>
        <v/>
      </c>
      <c r="AB75" s="97"/>
      <c r="AC75" s="253"/>
      <c r="AD75" s="253"/>
      <c r="AE75" s="246" t="str">
        <f t="shared" si="22"/>
        <v/>
      </c>
      <c r="AF75" s="97"/>
      <c r="AG75" s="253"/>
      <c r="AH75" s="253"/>
      <c r="AI75" s="246" t="str">
        <f t="shared" si="23"/>
        <v/>
      </c>
      <c r="AJ75" s="97"/>
      <c r="AK75" s="253"/>
      <c r="AL75" s="253"/>
      <c r="AM75" s="246" t="str">
        <f t="shared" si="24"/>
        <v/>
      </c>
      <c r="AN75" s="97"/>
      <c r="AO75" s="253"/>
      <c r="AP75" s="253"/>
      <c r="AQ75" s="246" t="str">
        <f t="shared" si="25"/>
        <v/>
      </c>
      <c r="AR75" s="97"/>
      <c r="AS75" s="253"/>
      <c r="AT75" s="253"/>
      <c r="AU75" s="246" t="str">
        <f t="shared" si="26"/>
        <v/>
      </c>
      <c r="AV75" s="97"/>
      <c r="AW75" s="253"/>
      <c r="AX75" s="253"/>
      <c r="AY75" s="246" t="str">
        <f t="shared" si="27"/>
        <v/>
      </c>
      <c r="AZ75" s="97"/>
      <c r="BA75" s="253"/>
      <c r="BB75" s="253"/>
      <c r="BC75" s="246" t="str">
        <f t="shared" si="28"/>
        <v/>
      </c>
      <c r="BD75" s="97"/>
      <c r="BE75" s="253"/>
      <c r="BF75" s="253"/>
      <c r="BG75" s="246" t="str">
        <f t="shared" si="29"/>
        <v/>
      </c>
      <c r="BH75" s="97"/>
      <c r="BI75" s="253"/>
      <c r="BJ75" s="253"/>
      <c r="BK75" s="246" t="str">
        <f t="shared" si="30"/>
        <v/>
      </c>
      <c r="BL75" s="97"/>
      <c r="BM75" s="253"/>
      <c r="BN75" s="253"/>
      <c r="BO75" s="246" t="str">
        <f t="shared" si="31"/>
        <v/>
      </c>
      <c r="BP75" s="97"/>
      <c r="BQ75" s="253"/>
      <c r="BR75" s="253"/>
      <c r="BS75" s="246" t="str">
        <f t="shared" si="32"/>
        <v/>
      </c>
      <c r="BT75" s="97"/>
      <c r="BU75" s="253"/>
      <c r="BV75" s="253"/>
      <c r="BW75" s="246" t="str">
        <f t="shared" si="33"/>
        <v/>
      </c>
    </row>
    <row r="76" spans="1:75">
      <c r="A76" s="88">
        <v>70</v>
      </c>
      <c r="B76" s="50"/>
      <c r="C76" s="62"/>
      <c r="D76" s="117"/>
      <c r="E76" s="126"/>
      <c r="F76" s="190"/>
      <c r="G76" s="20"/>
      <c r="H76" s="20"/>
      <c r="I76" s="19"/>
      <c r="J76" s="246" t="str">
        <f t="shared" si="17"/>
        <v/>
      </c>
      <c r="K76" s="7"/>
      <c r="L76" s="97"/>
      <c r="M76" s="257"/>
      <c r="N76" s="253"/>
      <c r="O76" s="246" t="str">
        <f t="shared" si="18"/>
        <v/>
      </c>
      <c r="P76" s="97"/>
      <c r="Q76" s="253"/>
      <c r="R76" s="253"/>
      <c r="S76" s="246" t="str">
        <f t="shared" si="19"/>
        <v/>
      </c>
      <c r="T76" s="97"/>
      <c r="U76" s="253"/>
      <c r="V76" s="253"/>
      <c r="W76" s="246" t="str">
        <f t="shared" si="20"/>
        <v/>
      </c>
      <c r="X76" s="97"/>
      <c r="Y76" s="23"/>
      <c r="Z76" s="23"/>
      <c r="AA76" s="246" t="str">
        <f t="shared" si="21"/>
        <v/>
      </c>
      <c r="AB76" s="97"/>
      <c r="AC76" s="253"/>
      <c r="AD76" s="253"/>
      <c r="AE76" s="246" t="str">
        <f t="shared" si="22"/>
        <v/>
      </c>
      <c r="AF76" s="97"/>
      <c r="AG76" s="253"/>
      <c r="AH76" s="253"/>
      <c r="AI76" s="246" t="str">
        <f t="shared" si="23"/>
        <v/>
      </c>
      <c r="AJ76" s="97"/>
      <c r="AK76" s="253"/>
      <c r="AL76" s="253"/>
      <c r="AM76" s="246" t="str">
        <f t="shared" si="24"/>
        <v/>
      </c>
      <c r="AN76" s="97"/>
      <c r="AO76" s="253"/>
      <c r="AP76" s="253"/>
      <c r="AQ76" s="246" t="str">
        <f t="shared" si="25"/>
        <v/>
      </c>
      <c r="AR76" s="97"/>
      <c r="AS76" s="253"/>
      <c r="AT76" s="253"/>
      <c r="AU76" s="246" t="str">
        <f t="shared" si="26"/>
        <v/>
      </c>
      <c r="AV76" s="97"/>
      <c r="AW76" s="253"/>
      <c r="AX76" s="253"/>
      <c r="AY76" s="246" t="str">
        <f t="shared" si="27"/>
        <v/>
      </c>
      <c r="AZ76" s="97"/>
      <c r="BA76" s="253"/>
      <c r="BB76" s="253"/>
      <c r="BC76" s="246" t="str">
        <f t="shared" si="28"/>
        <v/>
      </c>
      <c r="BD76" s="97"/>
      <c r="BE76" s="253"/>
      <c r="BF76" s="253"/>
      <c r="BG76" s="246" t="str">
        <f t="shared" si="29"/>
        <v/>
      </c>
      <c r="BH76" s="97"/>
      <c r="BI76" s="253"/>
      <c r="BJ76" s="253"/>
      <c r="BK76" s="246" t="str">
        <f t="shared" si="30"/>
        <v/>
      </c>
      <c r="BL76" s="97"/>
      <c r="BM76" s="253"/>
      <c r="BN76" s="253"/>
      <c r="BO76" s="246" t="str">
        <f t="shared" si="31"/>
        <v/>
      </c>
      <c r="BP76" s="97"/>
      <c r="BQ76" s="253"/>
      <c r="BR76" s="253"/>
      <c r="BS76" s="246" t="str">
        <f t="shared" si="32"/>
        <v/>
      </c>
      <c r="BT76" s="97"/>
      <c r="BU76" s="253"/>
      <c r="BV76" s="253"/>
      <c r="BW76" s="246" t="str">
        <f t="shared" si="33"/>
        <v/>
      </c>
    </row>
    <row r="77" spans="1:75">
      <c r="A77" s="88">
        <v>71</v>
      </c>
      <c r="B77" s="50"/>
      <c r="C77" s="62"/>
      <c r="D77" s="117"/>
      <c r="E77" s="126"/>
      <c r="F77" s="190"/>
      <c r="G77" s="20"/>
      <c r="H77" s="20"/>
      <c r="I77" s="19"/>
      <c r="J77" s="246" t="str">
        <f t="shared" si="17"/>
        <v/>
      </c>
      <c r="K77" s="7"/>
      <c r="L77" s="97"/>
      <c r="M77" s="257"/>
      <c r="N77" s="253"/>
      <c r="O77" s="246" t="str">
        <f t="shared" si="18"/>
        <v/>
      </c>
      <c r="P77" s="97"/>
      <c r="Q77" s="253"/>
      <c r="R77" s="253"/>
      <c r="S77" s="246" t="str">
        <f t="shared" si="19"/>
        <v/>
      </c>
      <c r="T77" s="97"/>
      <c r="U77" s="253"/>
      <c r="V77" s="253"/>
      <c r="W77" s="246" t="str">
        <f t="shared" si="20"/>
        <v/>
      </c>
      <c r="X77" s="97"/>
      <c r="Y77" s="23"/>
      <c r="Z77" s="23"/>
      <c r="AA77" s="246" t="str">
        <f t="shared" si="21"/>
        <v/>
      </c>
      <c r="AB77" s="97"/>
      <c r="AC77" s="253"/>
      <c r="AD77" s="253"/>
      <c r="AE77" s="246" t="str">
        <f t="shared" si="22"/>
        <v/>
      </c>
      <c r="AF77" s="97"/>
      <c r="AG77" s="253"/>
      <c r="AH77" s="253"/>
      <c r="AI77" s="246" t="str">
        <f t="shared" si="23"/>
        <v/>
      </c>
      <c r="AJ77" s="97"/>
      <c r="AK77" s="253"/>
      <c r="AL77" s="253"/>
      <c r="AM77" s="246" t="str">
        <f t="shared" si="24"/>
        <v/>
      </c>
      <c r="AN77" s="97"/>
      <c r="AO77" s="253"/>
      <c r="AP77" s="253"/>
      <c r="AQ77" s="246" t="str">
        <f t="shared" si="25"/>
        <v/>
      </c>
      <c r="AR77" s="97"/>
      <c r="AS77" s="253"/>
      <c r="AT77" s="253"/>
      <c r="AU77" s="246" t="str">
        <f t="shared" si="26"/>
        <v/>
      </c>
      <c r="AV77" s="97"/>
      <c r="AW77" s="253"/>
      <c r="AX77" s="253"/>
      <c r="AY77" s="246" t="str">
        <f t="shared" si="27"/>
        <v/>
      </c>
      <c r="AZ77" s="97"/>
      <c r="BA77" s="253"/>
      <c r="BB77" s="253"/>
      <c r="BC77" s="246" t="str">
        <f t="shared" si="28"/>
        <v/>
      </c>
      <c r="BD77" s="97"/>
      <c r="BE77" s="253"/>
      <c r="BF77" s="253"/>
      <c r="BG77" s="246" t="str">
        <f t="shared" si="29"/>
        <v/>
      </c>
      <c r="BH77" s="97"/>
      <c r="BI77" s="253"/>
      <c r="BJ77" s="253"/>
      <c r="BK77" s="246" t="str">
        <f t="shared" si="30"/>
        <v/>
      </c>
      <c r="BL77" s="97"/>
      <c r="BM77" s="253"/>
      <c r="BN77" s="253"/>
      <c r="BO77" s="246" t="str">
        <f t="shared" si="31"/>
        <v/>
      </c>
      <c r="BP77" s="97"/>
      <c r="BQ77" s="253"/>
      <c r="BR77" s="253"/>
      <c r="BS77" s="246" t="str">
        <f t="shared" si="32"/>
        <v/>
      </c>
      <c r="BT77" s="97"/>
      <c r="BU77" s="253"/>
      <c r="BV77" s="253"/>
      <c r="BW77" s="246" t="str">
        <f t="shared" si="33"/>
        <v/>
      </c>
    </row>
    <row r="78" spans="1:75">
      <c r="A78" s="88">
        <v>72</v>
      </c>
      <c r="B78" s="50"/>
      <c r="C78" s="62"/>
      <c r="D78" s="117"/>
      <c r="E78" s="126"/>
      <c r="F78" s="190"/>
      <c r="G78" s="20"/>
      <c r="H78" s="20"/>
      <c r="I78" s="19"/>
      <c r="J78" s="246" t="str">
        <f t="shared" si="17"/>
        <v/>
      </c>
      <c r="K78" s="7"/>
      <c r="L78" s="97"/>
      <c r="M78" s="257"/>
      <c r="N78" s="253"/>
      <c r="O78" s="246" t="str">
        <f t="shared" si="18"/>
        <v/>
      </c>
      <c r="P78" s="97"/>
      <c r="Q78" s="253"/>
      <c r="R78" s="253"/>
      <c r="S78" s="246" t="str">
        <f t="shared" si="19"/>
        <v/>
      </c>
      <c r="T78" s="97"/>
      <c r="U78" s="253"/>
      <c r="V78" s="253"/>
      <c r="W78" s="246" t="str">
        <f t="shared" si="20"/>
        <v/>
      </c>
      <c r="X78" s="97"/>
      <c r="Y78" s="23"/>
      <c r="Z78" s="23"/>
      <c r="AA78" s="246" t="str">
        <f t="shared" si="21"/>
        <v/>
      </c>
      <c r="AB78" s="97"/>
      <c r="AC78" s="253"/>
      <c r="AD78" s="253"/>
      <c r="AE78" s="246" t="str">
        <f t="shared" si="22"/>
        <v/>
      </c>
      <c r="AF78" s="97"/>
      <c r="AG78" s="253"/>
      <c r="AH78" s="253"/>
      <c r="AI78" s="246" t="str">
        <f t="shared" si="23"/>
        <v/>
      </c>
      <c r="AJ78" s="97"/>
      <c r="AK78" s="253"/>
      <c r="AL78" s="253"/>
      <c r="AM78" s="246" t="str">
        <f t="shared" si="24"/>
        <v/>
      </c>
      <c r="AN78" s="97"/>
      <c r="AO78" s="253"/>
      <c r="AP78" s="253"/>
      <c r="AQ78" s="246" t="str">
        <f t="shared" si="25"/>
        <v/>
      </c>
      <c r="AR78" s="97"/>
      <c r="AS78" s="253"/>
      <c r="AT78" s="253"/>
      <c r="AU78" s="246" t="str">
        <f t="shared" si="26"/>
        <v/>
      </c>
      <c r="AV78" s="97"/>
      <c r="AW78" s="253"/>
      <c r="AX78" s="253"/>
      <c r="AY78" s="246" t="str">
        <f t="shared" si="27"/>
        <v/>
      </c>
      <c r="AZ78" s="97"/>
      <c r="BA78" s="253"/>
      <c r="BB78" s="253"/>
      <c r="BC78" s="246" t="str">
        <f t="shared" si="28"/>
        <v/>
      </c>
      <c r="BD78" s="97"/>
      <c r="BE78" s="253"/>
      <c r="BF78" s="253"/>
      <c r="BG78" s="246" t="str">
        <f t="shared" si="29"/>
        <v/>
      </c>
      <c r="BH78" s="97"/>
      <c r="BI78" s="253"/>
      <c r="BJ78" s="253"/>
      <c r="BK78" s="246" t="str">
        <f t="shared" si="30"/>
        <v/>
      </c>
      <c r="BL78" s="97"/>
      <c r="BM78" s="253"/>
      <c r="BN78" s="253"/>
      <c r="BO78" s="246" t="str">
        <f t="shared" si="31"/>
        <v/>
      </c>
      <c r="BP78" s="97"/>
      <c r="BQ78" s="253"/>
      <c r="BR78" s="253"/>
      <c r="BS78" s="246" t="str">
        <f t="shared" si="32"/>
        <v/>
      </c>
      <c r="BT78" s="97"/>
      <c r="BU78" s="253"/>
      <c r="BV78" s="253"/>
      <c r="BW78" s="246" t="str">
        <f t="shared" si="33"/>
        <v/>
      </c>
    </row>
    <row r="79" spans="1:75">
      <c r="A79" s="88">
        <v>73</v>
      </c>
      <c r="B79" s="50"/>
      <c r="C79" s="62"/>
      <c r="D79" s="117"/>
      <c r="E79" s="126"/>
      <c r="F79" s="190"/>
      <c r="G79" s="20"/>
      <c r="H79" s="20"/>
      <c r="I79" s="19"/>
      <c r="J79" s="246" t="str">
        <f t="shared" si="17"/>
        <v/>
      </c>
      <c r="K79" s="7"/>
      <c r="L79" s="97"/>
      <c r="M79" s="257"/>
      <c r="N79" s="253"/>
      <c r="O79" s="246" t="str">
        <f t="shared" si="18"/>
        <v/>
      </c>
      <c r="P79" s="97"/>
      <c r="Q79" s="253"/>
      <c r="R79" s="253"/>
      <c r="S79" s="246" t="str">
        <f t="shared" si="19"/>
        <v/>
      </c>
      <c r="T79" s="97"/>
      <c r="U79" s="253"/>
      <c r="V79" s="253"/>
      <c r="W79" s="246" t="str">
        <f t="shared" si="20"/>
        <v/>
      </c>
      <c r="X79" s="97"/>
      <c r="Y79" s="23"/>
      <c r="Z79" s="23"/>
      <c r="AA79" s="246" t="str">
        <f t="shared" si="21"/>
        <v/>
      </c>
      <c r="AB79" s="97"/>
      <c r="AC79" s="253"/>
      <c r="AD79" s="253"/>
      <c r="AE79" s="246" t="str">
        <f t="shared" si="22"/>
        <v/>
      </c>
      <c r="AF79" s="97"/>
      <c r="AG79" s="253"/>
      <c r="AH79" s="253"/>
      <c r="AI79" s="246" t="str">
        <f t="shared" si="23"/>
        <v/>
      </c>
      <c r="AJ79" s="97"/>
      <c r="AK79" s="253"/>
      <c r="AL79" s="253"/>
      <c r="AM79" s="246" t="str">
        <f t="shared" si="24"/>
        <v/>
      </c>
      <c r="AN79" s="97"/>
      <c r="AO79" s="253"/>
      <c r="AP79" s="253"/>
      <c r="AQ79" s="246" t="str">
        <f t="shared" si="25"/>
        <v/>
      </c>
      <c r="AR79" s="97"/>
      <c r="AS79" s="253"/>
      <c r="AT79" s="253"/>
      <c r="AU79" s="246" t="str">
        <f t="shared" si="26"/>
        <v/>
      </c>
      <c r="AV79" s="97"/>
      <c r="AW79" s="253"/>
      <c r="AX79" s="253"/>
      <c r="AY79" s="246" t="str">
        <f t="shared" si="27"/>
        <v/>
      </c>
      <c r="AZ79" s="97"/>
      <c r="BA79" s="253"/>
      <c r="BB79" s="253"/>
      <c r="BC79" s="246" t="str">
        <f t="shared" si="28"/>
        <v/>
      </c>
      <c r="BD79" s="97"/>
      <c r="BE79" s="253"/>
      <c r="BF79" s="253"/>
      <c r="BG79" s="246" t="str">
        <f t="shared" si="29"/>
        <v/>
      </c>
      <c r="BH79" s="97"/>
      <c r="BI79" s="253"/>
      <c r="BJ79" s="253"/>
      <c r="BK79" s="246" t="str">
        <f t="shared" si="30"/>
        <v/>
      </c>
      <c r="BL79" s="97"/>
      <c r="BM79" s="253"/>
      <c r="BN79" s="253"/>
      <c r="BO79" s="246" t="str">
        <f t="shared" si="31"/>
        <v/>
      </c>
      <c r="BP79" s="97"/>
      <c r="BQ79" s="253"/>
      <c r="BR79" s="253"/>
      <c r="BS79" s="246" t="str">
        <f t="shared" si="32"/>
        <v/>
      </c>
      <c r="BT79" s="97"/>
      <c r="BU79" s="253"/>
      <c r="BV79" s="253"/>
      <c r="BW79" s="246" t="str">
        <f t="shared" si="33"/>
        <v/>
      </c>
    </row>
    <row r="80" spans="1:75">
      <c r="A80" s="88">
        <v>74</v>
      </c>
      <c r="B80" s="50"/>
      <c r="C80" s="62"/>
      <c r="D80" s="117"/>
      <c r="E80" s="126"/>
      <c r="F80" s="190"/>
      <c r="G80" s="20"/>
      <c r="H80" s="20"/>
      <c r="I80" s="19"/>
      <c r="J80" s="246" t="str">
        <f t="shared" si="17"/>
        <v/>
      </c>
      <c r="K80" s="7"/>
      <c r="L80" s="97"/>
      <c r="M80" s="257"/>
      <c r="N80" s="253"/>
      <c r="O80" s="246" t="str">
        <f t="shared" si="18"/>
        <v/>
      </c>
      <c r="P80" s="97"/>
      <c r="Q80" s="253"/>
      <c r="R80" s="253"/>
      <c r="S80" s="246" t="str">
        <f t="shared" si="19"/>
        <v/>
      </c>
      <c r="T80" s="97"/>
      <c r="U80" s="253"/>
      <c r="V80" s="253"/>
      <c r="W80" s="246" t="str">
        <f t="shared" si="20"/>
        <v/>
      </c>
      <c r="X80" s="97"/>
      <c r="Y80" s="23"/>
      <c r="Z80" s="23"/>
      <c r="AA80" s="246" t="str">
        <f t="shared" si="21"/>
        <v/>
      </c>
      <c r="AB80" s="97"/>
      <c r="AC80" s="253"/>
      <c r="AD80" s="253"/>
      <c r="AE80" s="246" t="str">
        <f t="shared" si="22"/>
        <v/>
      </c>
      <c r="AF80" s="97"/>
      <c r="AG80" s="253"/>
      <c r="AH80" s="253"/>
      <c r="AI80" s="246" t="str">
        <f t="shared" si="23"/>
        <v/>
      </c>
      <c r="AJ80" s="97"/>
      <c r="AK80" s="253"/>
      <c r="AL80" s="253"/>
      <c r="AM80" s="246" t="str">
        <f t="shared" si="24"/>
        <v/>
      </c>
      <c r="AN80" s="97"/>
      <c r="AO80" s="253"/>
      <c r="AP80" s="253"/>
      <c r="AQ80" s="246" t="str">
        <f t="shared" si="25"/>
        <v/>
      </c>
      <c r="AR80" s="97"/>
      <c r="AS80" s="253"/>
      <c r="AT80" s="253"/>
      <c r="AU80" s="246" t="str">
        <f t="shared" si="26"/>
        <v/>
      </c>
      <c r="AV80" s="97"/>
      <c r="AW80" s="253"/>
      <c r="AX80" s="253"/>
      <c r="AY80" s="246" t="str">
        <f t="shared" si="27"/>
        <v/>
      </c>
      <c r="AZ80" s="97"/>
      <c r="BA80" s="253"/>
      <c r="BB80" s="253"/>
      <c r="BC80" s="246" t="str">
        <f t="shared" si="28"/>
        <v/>
      </c>
      <c r="BD80" s="97"/>
      <c r="BE80" s="253"/>
      <c r="BF80" s="253"/>
      <c r="BG80" s="246" t="str">
        <f t="shared" si="29"/>
        <v/>
      </c>
      <c r="BH80" s="97"/>
      <c r="BI80" s="253"/>
      <c r="BJ80" s="253"/>
      <c r="BK80" s="246" t="str">
        <f t="shared" si="30"/>
        <v/>
      </c>
      <c r="BL80" s="97"/>
      <c r="BM80" s="253"/>
      <c r="BN80" s="253"/>
      <c r="BO80" s="246" t="str">
        <f t="shared" si="31"/>
        <v/>
      </c>
      <c r="BP80" s="97"/>
      <c r="BQ80" s="253"/>
      <c r="BR80" s="253"/>
      <c r="BS80" s="246" t="str">
        <f t="shared" si="32"/>
        <v/>
      </c>
      <c r="BT80" s="97"/>
      <c r="BU80" s="253"/>
      <c r="BV80" s="253"/>
      <c r="BW80" s="246" t="str">
        <f t="shared" si="33"/>
        <v/>
      </c>
    </row>
    <row r="81" spans="1:75">
      <c r="A81" s="88">
        <v>75</v>
      </c>
      <c r="B81" s="50"/>
      <c r="C81" s="62"/>
      <c r="D81" s="117"/>
      <c r="E81" s="126"/>
      <c r="F81" s="190"/>
      <c r="G81" s="20"/>
      <c r="H81" s="20"/>
      <c r="I81" s="19"/>
      <c r="J81" s="246" t="str">
        <f t="shared" si="17"/>
        <v/>
      </c>
      <c r="K81" s="7"/>
      <c r="L81" s="97"/>
      <c r="M81" s="257"/>
      <c r="N81" s="253"/>
      <c r="O81" s="246" t="str">
        <f t="shared" si="18"/>
        <v/>
      </c>
      <c r="P81" s="97"/>
      <c r="Q81" s="253"/>
      <c r="R81" s="253"/>
      <c r="S81" s="246" t="str">
        <f t="shared" si="19"/>
        <v/>
      </c>
      <c r="T81" s="97"/>
      <c r="U81" s="253"/>
      <c r="V81" s="253"/>
      <c r="W81" s="246" t="str">
        <f t="shared" si="20"/>
        <v/>
      </c>
      <c r="X81" s="97"/>
      <c r="Y81" s="23"/>
      <c r="Z81" s="23"/>
      <c r="AA81" s="246" t="str">
        <f t="shared" si="21"/>
        <v/>
      </c>
      <c r="AB81" s="97"/>
      <c r="AC81" s="253"/>
      <c r="AD81" s="253"/>
      <c r="AE81" s="246" t="str">
        <f t="shared" si="22"/>
        <v/>
      </c>
      <c r="AF81" s="97"/>
      <c r="AG81" s="253"/>
      <c r="AH81" s="253"/>
      <c r="AI81" s="246" t="str">
        <f t="shared" si="23"/>
        <v/>
      </c>
      <c r="AJ81" s="97"/>
      <c r="AK81" s="253"/>
      <c r="AL81" s="253"/>
      <c r="AM81" s="246" t="str">
        <f t="shared" si="24"/>
        <v/>
      </c>
      <c r="AN81" s="97"/>
      <c r="AO81" s="253"/>
      <c r="AP81" s="253"/>
      <c r="AQ81" s="246" t="str">
        <f t="shared" si="25"/>
        <v/>
      </c>
      <c r="AR81" s="97"/>
      <c r="AS81" s="253"/>
      <c r="AT81" s="253"/>
      <c r="AU81" s="246" t="str">
        <f t="shared" si="26"/>
        <v/>
      </c>
      <c r="AV81" s="97"/>
      <c r="AW81" s="253"/>
      <c r="AX81" s="253"/>
      <c r="AY81" s="246" t="str">
        <f t="shared" si="27"/>
        <v/>
      </c>
      <c r="AZ81" s="97"/>
      <c r="BA81" s="253"/>
      <c r="BB81" s="253"/>
      <c r="BC81" s="246" t="str">
        <f t="shared" si="28"/>
        <v/>
      </c>
      <c r="BD81" s="97"/>
      <c r="BE81" s="253"/>
      <c r="BF81" s="253"/>
      <c r="BG81" s="246" t="str">
        <f t="shared" si="29"/>
        <v/>
      </c>
      <c r="BH81" s="97"/>
      <c r="BI81" s="253"/>
      <c r="BJ81" s="253"/>
      <c r="BK81" s="246" t="str">
        <f t="shared" si="30"/>
        <v/>
      </c>
      <c r="BL81" s="97"/>
      <c r="BM81" s="253"/>
      <c r="BN81" s="253"/>
      <c r="BO81" s="246" t="str">
        <f t="shared" si="31"/>
        <v/>
      </c>
      <c r="BP81" s="97"/>
      <c r="BQ81" s="253"/>
      <c r="BR81" s="253"/>
      <c r="BS81" s="246" t="str">
        <f t="shared" si="32"/>
        <v/>
      </c>
      <c r="BT81" s="97"/>
      <c r="BU81" s="253"/>
      <c r="BV81" s="253"/>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3"/>
      <c r="O82" s="246" t="str">
        <f>IF($M$4="","",IF(K$4="","",IF($C82="","",IF(AND($B82="",M82=""),"*",IF(AND($B82="v",NOT(M82="")),"*",IF(AND($B82="",NOT(M82="")),"",IF(AND($B82="v",M82=""),"")))))))</f>
        <v/>
      </c>
      <c r="P82" s="97"/>
      <c r="Q82" s="253"/>
      <c r="R82" s="253"/>
      <c r="S82" s="246" t="str">
        <f t="shared" si="19"/>
        <v/>
      </c>
      <c r="T82" s="97"/>
      <c r="U82" s="253"/>
      <c r="V82" s="253"/>
      <c r="W82" s="246" t="str">
        <f t="shared" si="20"/>
        <v/>
      </c>
      <c r="X82" s="97"/>
      <c r="Y82" s="23"/>
      <c r="Z82" s="23"/>
      <c r="AA82" s="246" t="str">
        <f t="shared" si="21"/>
        <v/>
      </c>
      <c r="AB82" s="97"/>
      <c r="AC82" s="253"/>
      <c r="AD82" s="253"/>
      <c r="AE82" s="246" t="str">
        <f t="shared" si="22"/>
        <v/>
      </c>
      <c r="AF82" s="97"/>
      <c r="AG82" s="253"/>
      <c r="AH82" s="253"/>
      <c r="AI82" s="246" t="str">
        <f t="shared" si="23"/>
        <v/>
      </c>
      <c r="AJ82" s="97"/>
      <c r="AK82" s="253"/>
      <c r="AL82" s="253"/>
      <c r="AM82" s="246" t="str">
        <f t="shared" si="24"/>
        <v/>
      </c>
      <c r="AN82" s="97"/>
      <c r="AO82" s="253"/>
      <c r="AP82" s="253"/>
      <c r="AQ82" s="246" t="str">
        <f t="shared" si="25"/>
        <v/>
      </c>
      <c r="AR82" s="97"/>
      <c r="AS82" s="253"/>
      <c r="AT82" s="253"/>
      <c r="AU82" s="246" t="str">
        <f t="shared" si="26"/>
        <v/>
      </c>
      <c r="AV82" s="97"/>
      <c r="AW82" s="253"/>
      <c r="AX82" s="253"/>
      <c r="AY82" s="246" t="str">
        <f>IF($AW$4="","",IF(AU$4="","",IF($C82="","",IF(AND($B82="",AW82=""),"*",IF(AND($B82="v",NOT(AW82="")),"*",IF(AND($B82="",NOT(AW82="")),"",IF(AND($B82="v",AW82=""),"")))))))</f>
        <v/>
      </c>
      <c r="AZ82" s="97"/>
      <c r="BA82" s="253"/>
      <c r="BB82" s="253"/>
      <c r="BC82" s="246" t="str">
        <f t="shared" si="28"/>
        <v/>
      </c>
      <c r="BD82" s="97"/>
      <c r="BE82" s="253"/>
      <c r="BF82" s="253"/>
      <c r="BG82" s="246" t="str">
        <f t="shared" si="29"/>
        <v/>
      </c>
      <c r="BH82" s="97"/>
      <c r="BI82" s="253"/>
      <c r="BJ82" s="253"/>
      <c r="BK82" s="246" t="str">
        <f t="shared" si="30"/>
        <v/>
      </c>
      <c r="BL82" s="97"/>
      <c r="BM82" s="253"/>
      <c r="BN82" s="253"/>
      <c r="BO82" s="246" t="str">
        <f>IF($BM$4="","",IF(BK$4="","",IF($C82="","",IF(AND($B82="",BM82=""),"*",IF(AND($B82="v",NOT(BM82="")),"*",IF(AND($B82="",NOT(BM82="")),"",IF(AND($B82="v",BM82=""),"")))))))</f>
        <v/>
      </c>
      <c r="BP82" s="97"/>
      <c r="BQ82" s="253"/>
      <c r="BR82" s="253"/>
      <c r="BS82" s="246" t="str">
        <f>IF($BQ$4="","",IF(BO$4="","",IF($C82="","",IF(AND($B82="",BQ82=""),"*",IF(AND($B82="v",NOT(BQ82="")),"*",IF(AND($B82="",NOT(BQ82="")),"",IF(AND($B82="v",BQ82=""),"")))))))</f>
        <v/>
      </c>
      <c r="BT82" s="97"/>
      <c r="BU82" s="253"/>
      <c r="BV82" s="253"/>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292"/>
      <c r="G85" s="29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70">
      <formula>$B7="v"</formula>
    </cfRule>
  </conditionalFormatting>
  <conditionalFormatting sqref="X7:Y82 T7:U82 AJ7:AK82 AF7:AG82 AB7:AC82 AR7:AS82 AN7:AO82 BH7:BI82 BD7:BE82 AZ7:BA82 BT7:BU82 BP7:BQ82 BL7:BM82">
    <cfRule type="expression" dxfId="2259" priority="374">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3">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5">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37">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39">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43">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46">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50">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54">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62">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66">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3">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4F0118F1-77C7-4889-8C56-4526D6205763}">
      <formula1>"* ,[ASTM] D4176 Procedure 1"</formula1>
    </dataValidation>
    <dataValidation type="list" allowBlank="1" showInputMessage="1" showErrorMessage="1" sqref="D8 D12" xr:uid="{C69377B2-955B-4912-9D55-35EEB47360DF}">
      <formula1>"* ,[OTHER] Visual"</formula1>
    </dataValidation>
    <dataValidation type="list" allowBlank="1" showInputMessage="1" showErrorMessage="1" sqref="D9" xr:uid="{D6D328BC-738B-4BA4-9F28-70DBC6CD7A50}">
      <formula1>"* ,[ASTM] D6839,[ASTM] D5580,[ASTM] D5134,[ASTM] D1319,[ASTM] D5443"</formula1>
    </dataValidation>
    <dataValidation type="list" allowBlank="1" showInputMessage="1" showErrorMessage="1" sqref="D10" xr:uid="{54153582-414B-48B8-9A82-782AF06E5113}">
      <formula1>"* ,[ASTM] D5580,[ASTM] D5443"</formula1>
    </dataValidation>
    <dataValidation type="list" allowBlank="1" showInputMessage="1" showErrorMessage="1" sqref="D11" xr:uid="{F40BAAE6-2762-4431-A24C-8750F5AED362}">
      <formula1>"* ,[ASTM] D3606,[ASTM] D4053,[ASTM] D6839,[ASTM] D5580"</formula1>
    </dataValidation>
    <dataValidation type="list" allowBlank="1" showInputMessage="1" showErrorMessage="1" sqref="D13" xr:uid="{DB172B25-1472-4623-B01B-19CDC52A84F9}">
      <formula1>"* ,[ASTM] D130"</formula1>
    </dataValidation>
    <dataValidation type="list" allowBlank="1" showInputMessage="1" showErrorMessage="1" sqref="D14" xr:uid="{87D0125E-9598-416A-8CF8-FE5B2E62FDE2}">
      <formula1>"* ,[ASTM] D1298,[ASTM] D4052"</formula1>
    </dataValidation>
    <dataValidation type="list" allowBlank="1" showInputMessage="1" showErrorMessage="1" sqref="D15 D16 D17 D18 D19 D20 D21" xr:uid="{730900CA-3352-4677-9A99-1B15604C4AC4}">
      <formula1>"* ,[ASTM] D86"</formula1>
    </dataValidation>
    <dataValidation type="list" allowBlank="1" showInputMessage="1" showErrorMessage="1" sqref="D22" xr:uid="{BE7DADFC-C1BA-4575-8F5A-9B33B318DAD2}">
      <formula1>"* ,[OTHER] CGSB 3.5"</formula1>
    </dataValidation>
    <dataValidation type="list" allowBlank="1" showInputMessage="1" showErrorMessage="1" sqref="D23 D33 D36" xr:uid="{913E07CC-BE5D-4EE8-A8F0-733C3BAA76B5}">
      <formula1>"* ,[ASTM] D4815-04"</formula1>
    </dataValidation>
    <dataValidation type="list" allowBlank="1" showInputMessage="1" showErrorMessage="1" sqref="D24" xr:uid="{79847983-19F8-4F74-8F6A-DBDC14B59587}">
      <formula1>"* ,[OTHER] Calculation"</formula1>
    </dataValidation>
    <dataValidation type="list" allowBlank="1" showInputMessage="1" showErrorMessage="1" sqref="D25 D26" xr:uid="{E107911A-4E58-483E-A6FE-5F924B87DAE0}">
      <formula1>"* ,[ASTM] D381"</formula1>
    </dataValidation>
    <dataValidation type="list" allowBlank="1" showInputMessage="1" showErrorMessage="1" sqref="D27" xr:uid="{41B5B38C-1E0B-424A-A8A1-2405CB596D30}">
      <formula1>"* ,[ASTM] D525"</formula1>
    </dataValidation>
    <dataValidation type="list" allowBlank="1" showInputMessage="1" showErrorMessage="1" sqref="D28" xr:uid="{CC88FCB9-1896-4641-84AB-788714E15B16}">
      <formula1>"* ,[IP] IP 352,[ASTM] D3237,[ASTM] D5059"</formula1>
    </dataValidation>
    <dataValidation type="list" allowBlank="1" showInputMessage="1" showErrorMessage="1" sqref="D29" xr:uid="{D75707AE-4799-41BE-ADD8-EC39203E6759}">
      <formula1>"* ,[ASTM] D2700"</formula1>
    </dataValidation>
    <dataValidation type="list" allowBlank="1" showInputMessage="1" showErrorMessage="1" sqref="D30" xr:uid="{ED18EB25-AC64-45F2-BB6D-2D9F8FB72FC7}">
      <formula1>"* ,[ASTM] D2699"</formula1>
    </dataValidation>
    <dataValidation type="list" allowBlank="1" showInputMessage="1" showErrorMessage="1" sqref="D31" xr:uid="{9C6B5CCA-A412-4919-A173-48DA6AB1F235}">
      <formula1>"* ,[OTHER] Odor"</formula1>
    </dataValidation>
    <dataValidation type="list" allowBlank="1" showInputMessage="1" showErrorMessage="1" sqref="D32" xr:uid="{8CD368ED-494A-47BB-B890-720E2583053B}">
      <formula1>"* ,[ASTM] D1319"</formula1>
    </dataValidation>
    <dataValidation type="list" allowBlank="1" showInputMessage="1" showErrorMessage="1" sqref="D34 D35 D37 D38 D39" xr:uid="{E2121566-A7D9-4844-8943-E46BDB375647}">
      <formula1>"* ,[ASTM] D4815"</formula1>
    </dataValidation>
    <dataValidation type="list" allowBlank="1" showInputMessage="1" showErrorMessage="1" sqref="D40" xr:uid="{8DBD106A-58E4-4400-9041-37E51F7DE8CC}">
      <formula1>"* ,[ASTM] D5452"</formula1>
    </dataValidation>
    <dataValidation type="list" allowBlank="1" showInputMessage="1" showErrorMessage="1" sqref="D41" xr:uid="{0B3E88B1-C86F-4180-AE69-DA412C9AFC10}">
      <formula1>"* ,[ASTM] D3231"</formula1>
    </dataValidation>
    <dataValidation type="list" allowBlank="1" showInputMessage="1" showErrorMessage="1" sqref="D42" xr:uid="{E020760A-5C74-40B7-BA34-3ADBA2F7EC82}">
      <formula1>"* ,[ASTM] D7671"</formula1>
    </dataValidation>
    <dataValidation type="list" allowBlank="1" showInputMessage="1" showErrorMessage="1" sqref="D43" xr:uid="{48A192BA-58FE-443B-8E7F-9E79E2578653}">
      <formula1>"* ,[ASTM] D4294,[ASTM] D5453,[IP] IP 336"</formula1>
    </dataValidation>
    <dataValidation type="list" allowBlank="1" showInputMessage="1" showErrorMessage="1" sqref="D44" xr:uid="{CB386ED8-DADA-4D72-8021-44BAC3659E7D}">
      <formula1>"* ,[IP] IP 342,[ASTM] D3227"</formula1>
    </dataValidation>
    <dataValidation type="list" allowBlank="1" showInputMessage="1" showErrorMessage="1" sqref="D45" xr:uid="{030AA640-BE48-4382-B570-CE68E855FB11}">
      <formula1>"* ,[ASTM] D4952,[IP] IP 30"</formula1>
    </dataValidation>
    <dataValidation type="list" allowBlank="1" showInputMessage="1" showErrorMessage="1" sqref="D46" xr:uid="{800F674F-392A-4600-BDCE-5CDC514F4868}">
      <formula1>"* ,[ASTM] D323,[ASTM] D5191 (ASTM)"</formula1>
    </dataValidation>
    <dataValidation type="list" allowBlank="1" showInputMessage="1" showErrorMessage="1" sqref="D47 D48" xr:uid="{921BB01E-F83B-432B-BC59-1739C4C9E1D5}">
      <formula1>"* ,[OTHER] Declaration"</formula1>
    </dataValidation>
    <dataValidation type="list" allowBlank="1" showInputMessage="1" showErrorMessage="1" sqref="D49" xr:uid="{4D4A26A9-155A-4088-B1A8-6A55BBCE6C9E}">
      <formula1>"* ,[OTHER] Not Listed"</formula1>
    </dataValidation>
    <dataValidation type="list" allowBlank="1" showInputMessage="1" showErrorMessage="1" sqref="D50 D52 D53 D54 D55 D56" xr:uid="{EFC8D67D-1A94-4345-823D-E4816B032AD4}">
      <formula1>"* ,[OTHER] Additives (declaration)"</formula1>
    </dataValidation>
    <dataValidation type="list" allowBlank="1" showInputMessage="1" showErrorMessage="1" sqref="D51" xr:uid="{EE1B5953-7445-44A8-A5E0-27873729FC31}">
      <formula1>"* ,[OTHER] Additive - Antioxidant (declaration)"</formula1>
    </dataValidation>
    <dataValidation type="list" allowBlank="1" showInputMessage="1" showErrorMessage="1" sqref="I7 I8" xr:uid="{AD211D5C-B29D-4FA6-9422-519237B30924}">
      <formula1>"pass/fail,visual"</formula1>
    </dataValidation>
    <dataValidation type="list" allowBlank="1" showInputMessage="1" showErrorMessage="1" sqref="I9 I10" xr:uid="{664FEE6C-EA65-4A9A-99F6-1CDAE6CA47DD}">
      <formula1>"ppm,%liq vol,%m/m,%mole,%vol"</formula1>
    </dataValidation>
    <dataValidation type="list" allowBlank="1" showInputMessage="1" showErrorMessage="1" sqref="I11" xr:uid="{A63B2D8F-EDA5-4F75-A251-3560A82C859B}">
      <formula1>"mg/kg,ppm v/v,ppm w/w,%wt,%vol"</formula1>
    </dataValidation>
    <dataValidation type="list" allowBlank="1" showInputMessage="1" showErrorMessage="1" sqref="I12" xr:uid="{BC35EB59-0A84-4F1F-BD75-5AB52D40FEB9}">
      <formula1>"haze no,Pt/Co scale,pass/fail,rating,visual"</formula1>
    </dataValidation>
    <dataValidation type="list" allowBlank="1" showInputMessage="1" showErrorMessage="1" sqref="I13 I42" xr:uid="{057E4C51-060B-49E8-BFA2-471A5CB42C85}">
      <formula1>"rating"</formula1>
    </dataValidation>
    <dataValidation type="list" allowBlank="1" showInputMessage="1" showErrorMessage="1" sqref="I14" xr:uid="{A74002EE-841E-4B56-83A9-E169F4931735}">
      <formula1>"g/ cc,g/l,g/cm³,g/ml,kg/m³,kg/l,n/a,tonne/m³"</formula1>
    </dataValidation>
    <dataValidation type="list" allowBlank="1" showInputMessage="1" showErrorMessage="1" sqref="I15 I16 I17 I18 I19 I20 I21" xr:uid="{1001FA67-CC20-4AA2-92E3-54EC3368D6E6}">
      <formula1>"°C,°F,%,%vol"</formula1>
    </dataValidation>
    <dataValidation type="list" allowBlank="1" showInputMessage="1" showErrorMessage="1" sqref="I22" xr:uid="{67C61665-FADD-4A9E-9A4A-D462CBB2CA1D}">
      <formula1>"calc"</formula1>
    </dataValidation>
    <dataValidation type="list" allowBlank="1" showInputMessage="1" showErrorMessage="1" sqref="I23" xr:uid="{79FF8042-513A-4291-86B0-118EC6E381D2}">
      <formula1>"ppm,%vol"</formula1>
    </dataValidation>
    <dataValidation type="list" allowBlank="1" showInputMessage="1" showErrorMessage="1" sqref="I24" xr:uid="{2C993A1D-5FFC-43AF-BD23-0681E84BD258}">
      <formula1>"calc,Min,Max,min/max"</formula1>
    </dataValidation>
    <dataValidation type="list" allowBlank="1" showInputMessage="1" showErrorMessage="1" sqref="I25 I26" xr:uid="{405BA79F-3234-4EC1-BDA1-37D83E225BDF}">
      <formula1>"g/m³,mg/100ml,mg/l"</formula1>
    </dataValidation>
    <dataValidation type="list" allowBlank="1" showInputMessage="1" showErrorMessage="1" sqref="I27" xr:uid="{F5DDA3BF-6620-42BE-BB8E-A26B5FC06513}">
      <formula1>"g/cm³,hrs,kg/m³,mg/100ml,mg/l,mins,rating"</formula1>
    </dataValidation>
    <dataValidation type="list" allowBlank="1" showInputMessage="1" showErrorMessage="1" sqref="I28" xr:uid="{F73ABAB1-6BD6-43DE-B783-5BF83FADE0FC}">
      <formula1>"g Pb/l,g Pb/US gal,g/US gal,mg/kg,mg/l,ppb,ppm,ppm w/w,%vol"</formula1>
    </dataValidation>
    <dataValidation type="list" allowBlank="1" showInputMessage="1" showErrorMessage="1" sqref="I29 I30" xr:uid="{30EFE282-03F8-47F0-87C0-0B364BAC6F6E}">
      <formula1>"mg/kg,mg/l,ppm,ppm w/w,%wt,rating"</formula1>
    </dataValidation>
    <dataValidation type="list" allowBlank="1" showInputMessage="1" showErrorMessage="1" sqref="I31" xr:uid="{D597C10D-7564-4051-87A2-8430E627BF6B}">
      <formula1>"pass/fail"</formula1>
    </dataValidation>
    <dataValidation type="list" allowBlank="1" showInputMessage="1" showErrorMessage="1" sqref="I32" xr:uid="{CBB6259F-5391-4938-A994-CF7E8CBC6144}">
      <formula1>"ppm,%liq vol,%m/m,%mole,%wt,%vol"</formula1>
    </dataValidation>
    <dataValidation type="list" allowBlank="1" showInputMessage="1" showErrorMessage="1" sqref="I33" xr:uid="{7419E251-82F8-4386-8DEE-8359D65983BF}">
      <formula1>"%m,%mole,%vol,ppm-mol"</formula1>
    </dataValidation>
    <dataValidation type="list" allowBlank="1" showInputMessage="1" showErrorMessage="1" sqref="I34 I35 I37 I38 I39" xr:uid="{EF4C1D06-8C8F-421B-A001-84ADC36596FF}">
      <formula1>"mg/100ml,mg/kg,ppm,ppm v/v,%m/m,%mole,%wt,%vol"</formula1>
    </dataValidation>
    <dataValidation type="list" allowBlank="1" showInputMessage="1" showErrorMessage="1" sqref="I36" xr:uid="{FE24A511-F2BD-40F1-B7D3-394E936193BC}">
      <formula1>"ppm w/w,%vol"</formula1>
    </dataValidation>
    <dataValidation type="list" allowBlank="1" showInputMessage="1" showErrorMessage="1" sqref="I40" xr:uid="{A23CBDE4-6C47-4B6F-BC60-E2B989C575E7}">
      <formula1>"g/cm³,μm,mg/100ml,mg/kg,mg/l,mins,ppm,%liq vol"</formula1>
    </dataValidation>
    <dataValidation type="list" allowBlank="1" showInputMessage="1" showErrorMessage="1" sqref="I41" xr:uid="{F1AAEC0E-5F87-41D1-A5AC-65C38A6A2349}">
      <formula1>"g P/US gal,mg P/l"</formula1>
    </dataValidation>
    <dataValidation type="list" allowBlank="1" showInputMessage="1" showErrorMessage="1" sqref="I43" xr:uid="{D75AE18E-DD8B-414D-B340-831C05BE05A4}">
      <formula1>"μg/g,mg/kg,mg/l,ppm,%m,%m/m,%wt"</formula1>
    </dataValidation>
    <dataValidation type="list" allowBlank="1" showInputMessage="1" showErrorMessage="1" sqref="I44" xr:uid="{AEE2063D-5EB8-45AD-987C-877C80E14163}">
      <formula1>"mg/kg,mg/m³,ppm,%m,%m/m,%mole,%wt,%vol"</formula1>
    </dataValidation>
    <dataValidation type="list" allowBlank="1" showInputMessage="1" showErrorMessage="1" sqref="I45" xr:uid="{975985B1-E748-4E62-AA7E-D3FA2C5682C2}">
      <formula1>"pos/neg,pass/fail"</formula1>
    </dataValidation>
    <dataValidation type="list" allowBlank="1" showInputMessage="1" showErrorMessage="1" sqref="I46" xr:uid="{9D93376C-3539-4CEE-99D4-147D3C02949D}">
      <formula1>"kg/cm²,kPa,mm Hg,psi"</formula1>
    </dataValidation>
    <dataValidation type="list" allowBlank="1" showInputMessage="1" showErrorMessage="1" sqref="I47 I48" xr:uid="{ECA9DBBD-4F2E-4D51-A6DC-31AA9EC03BAA}">
      <formula1>"%vol"</formula1>
    </dataValidation>
    <dataValidation type="list" allowBlank="1" showInputMessage="1" showErrorMessage="1" sqref="I49" xr:uid="{47154CB6-8AB8-40DC-A6F5-F759AF34493A}">
      <formula1>"mg/l,lb/1000 bbl"</formula1>
    </dataValidation>
    <dataValidation type="list" allowBlank="1" showInputMessage="1" showErrorMessage="1" sqref="I50 I52 I53 I54 I55 I56" xr:uid="{CB814FE3-8EF8-4723-81EE-5B0AE31D40A9}">
      <formula1>"mg/kg,mg/l,ppm"</formula1>
    </dataValidation>
    <dataValidation type="list" allowBlank="1" showInputMessage="1" showErrorMessage="1" sqref="I51" xr:uid="{39116FBB-0D9F-46F4-932D-CED8823CAB38}">
      <formula1>"mg/l"</formula1>
    </dataValidation>
    <dataValidation type="list" allowBlank="1" showInputMessage="1" showErrorMessage="1" sqref="F9 F10 F11 F13 F14 F15 F16 F17 F18 F19 F20 F21 F22 F23 F24 F25 F26 F27 F28 F29 F30 F32 F33 F34 F35 F36 F37 F38 F39 F40 F41 F42 F43 F44 F46 F47 F48 F49 F50 F51 F52 F53 F54 F55 F56" xr:uid="{0E05963C-C77F-4398-89C8-AA2C1EC460DB}">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7C407-BABD-44C1-A013-ADF8D9ED176B}">
  <sheetPr codeName="Sheet5">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activeCell="C10" sqref="C10"/>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302</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c r="E7" s="126" t="s">
        <v>729</v>
      </c>
      <c r="F7" s="263"/>
      <c r="G7" s="20"/>
      <c r="H7" s="20"/>
      <c r="I7" s="262" t="s">
        <v>757</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691</v>
      </c>
      <c r="D8" s="260"/>
      <c r="E8" s="126" t="s">
        <v>729</v>
      </c>
      <c r="F8" s="263"/>
      <c r="G8" s="20"/>
      <c r="H8" s="20"/>
      <c r="I8" s="262" t="s">
        <v>758</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t="s">
        <v>694</v>
      </c>
      <c r="D9" s="260"/>
      <c r="E9" s="126" t="s">
        <v>729</v>
      </c>
      <c r="F9" s="263"/>
      <c r="G9" s="20"/>
      <c r="H9" s="20"/>
      <c r="I9" s="262" t="s">
        <v>758</v>
      </c>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t="s">
        <v>696</v>
      </c>
      <c r="D10" s="260"/>
      <c r="E10" s="126" t="s">
        <v>734</v>
      </c>
      <c r="F10" s="261"/>
      <c r="G10" s="20"/>
      <c r="H10" s="20"/>
      <c r="I10" s="262" t="s">
        <v>761</v>
      </c>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t="s">
        <v>697</v>
      </c>
      <c r="D11" s="260"/>
      <c r="E11" s="126" t="s">
        <v>734</v>
      </c>
      <c r="F11" s="261"/>
      <c r="G11" s="20"/>
      <c r="H11" s="20"/>
      <c r="I11" s="262" t="s">
        <v>759</v>
      </c>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t="s">
        <v>698</v>
      </c>
      <c r="D12" s="260"/>
      <c r="E12" s="126" t="s">
        <v>735</v>
      </c>
      <c r="F12" s="261"/>
      <c r="G12" s="20"/>
      <c r="H12" s="20"/>
      <c r="I12" s="262" t="s">
        <v>762</v>
      </c>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t="s">
        <v>699</v>
      </c>
      <c r="D13" s="260"/>
      <c r="E13" s="126" t="s">
        <v>736</v>
      </c>
      <c r="F13" s="261"/>
      <c r="G13" s="20"/>
      <c r="H13" s="20"/>
      <c r="I13" s="262" t="s">
        <v>762</v>
      </c>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t="s">
        <v>700</v>
      </c>
      <c r="D14" s="260"/>
      <c r="E14" s="126" t="s">
        <v>737</v>
      </c>
      <c r="F14" s="261"/>
      <c r="G14" s="20"/>
      <c r="H14" s="20"/>
      <c r="I14" s="262" t="s">
        <v>762</v>
      </c>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t="s">
        <v>701</v>
      </c>
      <c r="D15" s="260"/>
      <c r="E15" s="126" t="s">
        <v>738</v>
      </c>
      <c r="F15" s="261"/>
      <c r="G15" s="20"/>
      <c r="H15" s="20"/>
      <c r="I15" s="262" t="s">
        <v>762</v>
      </c>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t="s">
        <v>702</v>
      </c>
      <c r="D16" s="260"/>
      <c r="E16" s="126" t="s">
        <v>734</v>
      </c>
      <c r="F16" s="261"/>
      <c r="G16" s="20"/>
      <c r="H16" s="20"/>
      <c r="I16" s="262" t="s">
        <v>759</v>
      </c>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t="s">
        <v>703</v>
      </c>
      <c r="D17" s="260"/>
      <c r="E17" s="126" t="s">
        <v>739</v>
      </c>
      <c r="F17" s="261"/>
      <c r="G17" s="20"/>
      <c r="H17" s="20"/>
      <c r="I17" s="262" t="s">
        <v>759</v>
      </c>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t="s">
        <v>713</v>
      </c>
      <c r="D18" s="260"/>
      <c r="E18" s="126" t="s">
        <v>729</v>
      </c>
      <c r="F18" s="263"/>
      <c r="G18" s="20"/>
      <c r="H18" s="20"/>
      <c r="I18" s="19" t="s">
        <v>757</v>
      </c>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217">
      <formula>$B7="v"</formula>
    </cfRule>
  </conditionalFormatting>
  <conditionalFormatting sqref="X7:Y82 T7:U82 AJ7:AK82 AF7:AG82 AB7:AC82 AR7:AS82 AN7:AO82 BH7:BI82 BD7:BE82 AZ7:BA82 BT7:BU82 BP7:BQ82 BL7:BM82">
    <cfRule type="expression" dxfId="2032" priority="220">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4">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86">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88">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0">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194">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197">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0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05">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1">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14">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14">
    <dataValidation type="list" allowBlank="1" showInputMessage="1" showErrorMessage="1" sqref="F2" xr:uid="{D9E12414-4293-4D4C-B7AA-5CDC9FA118EF}">
      <formula1>"1, 2, 3, 4, 5, 6, 7, 8, 9, 10, 11, 12, 13, 14, 15, 16, 17"</formula1>
    </dataValidation>
    <dataValidation type="list" allowBlank="1" showInputMessage="1" showErrorMessage="1" sqref="B7:B82" xr:uid="{4D1DC0C8-6452-4967-A28A-A3F8CE2F59F5}">
      <formula1>"v"</formula1>
    </dataValidation>
    <dataValidation type="list" allowBlank="1" showInputMessage="1" showErrorMessage="1" sqref="BP7:BP82 AV7:AV82 BL7:BL82 BT7:BT82 BH7:BH82 BD7:BD82 AZ7:AZ82" xr:uid="{DE5EE6BC-1696-4CE7-A388-E8DA888435C5}">
      <formula1>"&lt;, &lt;=, &gt;, &gt;=, ="</formula1>
    </dataValidation>
    <dataValidation type="list" allowBlank="1" showInputMessage="1" showErrorMessage="1" sqref="D7" xr:uid="{92A8F6D9-4936-4735-857D-F44911AC535C}">
      <formula1>"* ,[ASTM] D4176 Procedure 1"</formula1>
    </dataValidation>
    <dataValidation type="list" allowBlank="1" showInputMessage="1" showErrorMessage="1" sqref="D8 D9" xr:uid="{47CB3241-1863-4BF5-BC22-DB18B41DA86A}">
      <formula1>"* ,[OTHER] Visual"</formula1>
    </dataValidation>
    <dataValidation type="list" allowBlank="1" showInputMessage="1" showErrorMessage="1" sqref="D10" xr:uid="{33D3297A-3440-469B-A609-1B4687CBB25C}">
      <formula1>"* ,[ASTM] D4052,[ASTM] D1298"</formula1>
    </dataValidation>
    <dataValidation type="list" allowBlank="1" showInputMessage="1" showErrorMessage="1" sqref="D11 D12 D13 D14 D15 D16 D17" xr:uid="{FACF92A0-93B5-4080-847D-0CE82CB05EB2}">
      <formula1>"* ,[ASTM] D86"</formula1>
    </dataValidation>
    <dataValidation type="list" allowBlank="1" showInputMessage="1" showErrorMessage="1" sqref="D18" xr:uid="{EDE8B0A9-B7CF-480A-B76C-592ACC278F27}">
      <formula1>"* ,[OTHER] Odor"</formula1>
    </dataValidation>
    <dataValidation type="list" allowBlank="1" showInputMessage="1" showErrorMessage="1" sqref="I7 I8" xr:uid="{0F850757-0EBE-4E5A-A8ED-5CD7BADCD127}">
      <formula1>"pass/fail,visual"</formula1>
    </dataValidation>
    <dataValidation type="list" allowBlank="1" showInputMessage="1" showErrorMessage="1" sqref="I9" xr:uid="{CB42DC16-3098-494A-AFEB-E210B98C9C82}">
      <formula1>"haze no,Pt/Co scale,pass/fail,rating,visual"</formula1>
    </dataValidation>
    <dataValidation type="list" allowBlank="1" showInputMessage="1" showErrorMessage="1" sqref="I10" xr:uid="{0C37F0FB-21A3-4018-AA97-D69402CA31CD}">
      <formula1>"g/ cc,g/l,g/cm³,g/ml,kg/m³,kg/l,n/a,tonne/m³"</formula1>
    </dataValidation>
    <dataValidation type="list" allowBlank="1" showInputMessage="1" showErrorMessage="1" sqref="I11 I12 I13 I14 I15 I16 I17" xr:uid="{015E745E-3A25-426C-B513-C85A5C859157}">
      <formula1>"°C,°F,%,%vol"</formula1>
    </dataValidation>
    <dataValidation type="list" allowBlank="1" showInputMessage="1" showErrorMessage="1" sqref="I18" xr:uid="{F607972F-4A7E-4C04-BFE2-1CFC7EDD25D7}">
      <formula1>"pass/fail"</formula1>
    </dataValidation>
    <dataValidation type="list" allowBlank="1" showInputMessage="1" showErrorMessage="1" sqref="F10 F11 F12 F13 F14 F15 F16 F17" xr:uid="{2C32D68F-A874-49CC-B5D5-1A86BFE22D46}">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8F1A6498-A9AF-4207-AC9D-081EDFBAD91E}">
          <x14:formula1>
            <xm:f>Sheet3!$J$153:$J$168</xm:f>
          </x14:formula1>
          <xm:sqref>H7:H82 N7:N82 R7:R82 V7:V82 Z7:Z82 AD7:AD82 AH7:AH82 AL7:AL82 AP7:AP82 AT7:AT82</xm:sqref>
        </x14:dataValidation>
        <x14:dataValidation type="list" allowBlank="1" showInputMessage="1" showErrorMessage="1" xr:uid="{B572BED7-9AEB-4940-8D85-E1E5CBAC2FF0}">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F67F2-36DA-4A83-A429-C7322C8BF415}">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217">
      <formula>$B7="v"</formula>
    </cfRule>
  </conditionalFormatting>
  <conditionalFormatting sqref="X7:Y82 T7:U82 AJ7:AK82 AF7:AG82 AB7:AC82 AR7:AS82 AN7:AO82 BH7:BI82 BD7:BE82 AZ7:BA82 BT7:BU82 BP7:BQ82 BL7:BM82">
    <cfRule type="expression" dxfId="1805" priority="220">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4">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86">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88">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0">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194">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197">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0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05">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1">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14">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3">
    <dataValidation type="list" allowBlank="1" showInputMessage="1" showErrorMessage="1" sqref="BP7:BP82 AV7:AV82 BL7:BL82 BT7:BT82 BH7:BH82 BD7:BD82 AZ7:AZ82" xr:uid="{4306032B-6002-43E9-82F3-BF855925996F}">
      <formula1>"&lt;, &lt;=, &gt;, &gt;=, ="</formula1>
    </dataValidation>
    <dataValidation type="list" allowBlank="1" showInputMessage="1" showErrorMessage="1" sqref="B7:B82" xr:uid="{C2491EE8-4795-43D9-872D-2B228E24D340}">
      <formula1>"v"</formula1>
    </dataValidation>
    <dataValidation type="list" allowBlank="1" showInputMessage="1" showErrorMessage="1" sqref="F2" xr:uid="{716B73DE-E8C9-4AAA-9F92-4560F0EA10A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86CEBAAB-A96B-43A6-A28D-8A63C6CFE5BC}">
          <x14:formula1>
            <xm:f>Sheet3!$A$2:$A$49</xm:f>
          </x14:formula1>
          <xm:sqref>F3</xm:sqref>
        </x14:dataValidation>
        <x14:dataValidation type="list" allowBlank="1" showInputMessage="1" xr:uid="{44A77191-3ADE-4031-94D0-1C72BA8478D4}">
          <x14:formula1>
            <xm:f>Sheet3!$J$153:$J$168</xm:f>
          </x14:formula1>
          <xm:sqref>H7:H82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46AA0-7029-4B5A-AB9B-FB47904A6D64}">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217">
      <formula>$B7="v"</formula>
    </cfRule>
  </conditionalFormatting>
  <conditionalFormatting sqref="X7:Y82 T7:U82 AJ7:AK82 AF7:AG82 AB7:AC82 AR7:AS82 AN7:AO82 BH7:BI82 BD7:BE82 AZ7:BA82 BT7:BU82 BP7:BQ82 BL7:BM82">
    <cfRule type="expression" dxfId="1578" priority="220">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4">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86">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88">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0">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194">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197">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0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05">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1">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14">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3">
    <dataValidation type="list" allowBlank="1" showInputMessage="1" showErrorMessage="1" sqref="F2" xr:uid="{1350C96E-8606-4500-B0E8-ED67DCBE9BCE}">
      <formula1>"1, 2, 3, 4, 5, 6, 7, 8, 9, 10, 11, 12, 13, 14, 15, 16, 17"</formula1>
    </dataValidation>
    <dataValidation type="list" allowBlank="1" showInputMessage="1" showErrorMessage="1" sqref="B7:B82" xr:uid="{92F200B2-7267-4E97-9374-F30B94838357}">
      <formula1>"v"</formula1>
    </dataValidation>
    <dataValidation type="list" allowBlank="1" showInputMessage="1" showErrorMessage="1" sqref="BP7:BP82 AV7:AV82 BL7:BL82 BT7:BT82 BH7:BH82 BD7:BD82 AZ7:AZ82" xr:uid="{189B1397-B62F-47A5-A283-3F031A955FD5}">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FA67576E-9F16-403D-92DB-94EFE2EC2FC5}">
          <x14:formula1>
            <xm:f>Sheet3!$J$153:$J$168</xm:f>
          </x14:formula1>
          <xm:sqref>H7:H82 N7:N82 R7:R82 V7:V82 Z7:Z82 AD7:AD82 AH7:AH82 AL7:AL82 AP7:AP82 AT7:AT82</xm:sqref>
        </x14:dataValidation>
        <x14:dataValidation type="list" allowBlank="1" showInputMessage="1" showErrorMessage="1" xr:uid="{9C97F810-90FD-40FF-8F8F-FFDB2274F248}">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62287-EEAB-45A3-A563-A3BDA36BDFEE}">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217">
      <formula>$B7="v"</formula>
    </cfRule>
  </conditionalFormatting>
  <conditionalFormatting sqref="X7:Y82 T7:U82 AJ7:AK82 AF7:AG82 AB7:AC82 AR7:AS82 AN7:AO82 BH7:BI82 BD7:BE82 AZ7:BA82 BT7:BU82 BP7:BQ82 BL7:BM82">
    <cfRule type="expression" dxfId="1351" priority="220">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4">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86">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88">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0">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194">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197">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0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05">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1">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14">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3">
    <dataValidation type="list" allowBlank="1" showInputMessage="1" showErrorMessage="1" sqref="BP7:BP82 AV7:AV82 BL7:BL82 BT7:BT82 BH7:BH82 BD7:BD82 AZ7:AZ82" xr:uid="{28084570-AA8D-4DB5-9D3E-B8AF1D6C0719}">
      <formula1>"&lt;, &lt;=, &gt;, &gt;=, ="</formula1>
    </dataValidation>
    <dataValidation type="list" allowBlank="1" showInputMessage="1" showErrorMessage="1" sqref="B7:B82" xr:uid="{3FD3A4DD-5E30-4991-AB31-67948DFB3DBE}">
      <formula1>"v"</formula1>
    </dataValidation>
    <dataValidation type="list" allowBlank="1" showInputMessage="1" showErrorMessage="1" sqref="F2" xr:uid="{C15D13EF-C6D2-4662-86F3-81083A72DEEF}">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CD5EE6F-AEE6-4B30-A917-69B37DCF3B8D}">
          <x14:formula1>
            <xm:f>Sheet3!$A$2:$A$49</xm:f>
          </x14:formula1>
          <xm:sqref>F3</xm:sqref>
        </x14:dataValidation>
        <x14:dataValidation type="list" allowBlank="1" showInputMessage="1" xr:uid="{5F2CC60F-D543-43C4-82B8-02C564A26A70}">
          <x14:formula1>
            <xm:f>Sheet3!$J$153:$J$168</xm:f>
          </x14:formula1>
          <xm:sqref>H7:H82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072D-7C30-499A-995D-33A6C12FC153}">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217">
      <formula>$B7="v"</formula>
    </cfRule>
  </conditionalFormatting>
  <conditionalFormatting sqref="X7:Y82 T7:U82 AJ7:AK82 AF7:AG82 AB7:AC82 AR7:AS82 AN7:AO82 BH7:BI82 BD7:BE82 AZ7:BA82 BT7:BU82 BP7:BQ82 BL7:BM82">
    <cfRule type="expression" dxfId="1124" priority="220">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4">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86">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88">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0">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194">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197">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0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05">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1">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14">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3">
    <dataValidation type="list" allowBlank="1" showInputMessage="1" showErrorMessage="1" sqref="F2" xr:uid="{4FAE50B9-892C-40EF-B3A5-0715BC7EAF7A}">
      <formula1>"1, 2, 3, 4, 5, 6, 7, 8, 9, 10, 11, 12, 13, 14, 15, 16, 17"</formula1>
    </dataValidation>
    <dataValidation type="list" allowBlank="1" showInputMessage="1" showErrorMessage="1" sqref="B7:B82" xr:uid="{D8287D67-231A-4FA2-82F8-3B18D4AAEF01}">
      <formula1>"v"</formula1>
    </dataValidation>
    <dataValidation type="list" allowBlank="1" showInputMessage="1" showErrorMessage="1" sqref="BP7:BP82 AV7:AV82 BL7:BL82 BT7:BT82 BH7:BH82 BD7:BD82 AZ7:AZ82" xr:uid="{92EC4A29-E8F8-4D5A-A353-F5A4B0063BB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49113D52-5087-4B7A-BADC-D2E75DA8E7D5}">
          <x14:formula1>
            <xm:f>Sheet3!$J$153:$J$168</xm:f>
          </x14:formula1>
          <xm:sqref>H7:H82 N7:N82 R7:R82 V7:V82 Z7:Z82 AD7:AD82 AH7:AH82 AL7:AL82 AP7:AP82 AT7:AT82</xm:sqref>
        </x14:dataValidation>
        <x14:dataValidation type="list" allowBlank="1" showInputMessage="1" showErrorMessage="1" xr:uid="{63AA60B6-52C8-4C78-B825-5DC4FE6359E0}">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977F1-257A-4753-A183-527B5272E573}">
  <sheetPr codeName="Sheet10">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217">
      <formula>$B7="v"</formula>
    </cfRule>
  </conditionalFormatting>
  <conditionalFormatting sqref="X7:Y82 T7:U82 AJ7:AK82 AF7:AG82 AB7:AC82 AR7:AS82 AN7:AO82 BH7:BI82 BD7:BE82 AZ7:BA82 BT7:BU82 BP7:BQ82 BL7:BM82">
    <cfRule type="expression" dxfId="897" priority="220">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4">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86">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88">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0">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194">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197">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0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05">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1">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14">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3">
    <dataValidation type="list" allowBlank="1" showInputMessage="1" showErrorMessage="1" sqref="BP7:BP82 AV7:AV82 BL7:BL82 BT7:BT82 BH7:BH82 BD7:BD82 AZ7:AZ82" xr:uid="{7F022C3B-216B-4876-9651-7EE75677BDF9}">
      <formula1>"&lt;, &lt;=, &gt;, &gt;=, ="</formula1>
    </dataValidation>
    <dataValidation type="list" allowBlank="1" showInputMessage="1" showErrorMessage="1" sqref="B7:B82" xr:uid="{BD1F302D-EE91-418E-97F4-30AB4A0B1EFA}">
      <formula1>"v"</formula1>
    </dataValidation>
    <dataValidation type="list" allowBlank="1" showInputMessage="1" showErrorMessage="1" sqref="F2" xr:uid="{8A20365E-A22A-460A-8F1C-8744DFBF1DB2}">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3FBC2CE-63B3-401D-933D-4F91EEED0E08}">
          <x14:formula1>
            <xm:f>Sheet3!$A$2:$A$49</xm:f>
          </x14:formula1>
          <xm:sqref>F3</xm:sqref>
        </x14:dataValidation>
        <x14:dataValidation type="list" allowBlank="1" showInputMessage="1" xr:uid="{48ACC23D-584F-41D1-A81C-681D67B0F488}">
          <x14:formula1>
            <xm:f>Sheet3!$J$153:$J$168</xm:f>
          </x14:formula1>
          <xm:sqref>H7:H82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6CD41-C7E3-4C18-B296-53D64EEA2C5A}">
  <sheetPr codeName="Sheet11">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217">
      <formula>$B7="v"</formula>
    </cfRule>
  </conditionalFormatting>
  <conditionalFormatting sqref="X7:Y82 T7:U82 AJ7:AK82 AF7:AG82 AB7:AC82 AR7:AS82 AN7:AO82 BH7:BI82 BD7:BE82 AZ7:BA82 BT7:BU82 BP7:BQ82 BL7:BM82">
    <cfRule type="expression" dxfId="670" priority="220">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4">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86">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88">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0">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194">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197">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0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05">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1">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14">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3">
    <dataValidation type="list" allowBlank="1" showInputMessage="1" showErrorMessage="1" sqref="F2" xr:uid="{16E57AA8-1DAB-4F3F-B1AB-02654DDB4F6A}">
      <formula1>"1, 2, 3, 4, 5, 6, 7, 8, 9, 10, 11, 12, 13, 14, 15, 16, 17"</formula1>
    </dataValidation>
    <dataValidation type="list" allowBlank="1" showInputMessage="1" showErrorMessage="1" sqref="B7:B82" xr:uid="{1069FB26-E4A9-49A8-BF49-C3C152B8036C}">
      <formula1>"v"</formula1>
    </dataValidation>
    <dataValidation type="list" allowBlank="1" showInputMessage="1" showErrorMessage="1" sqref="BP7:BP82 AV7:AV82 BL7:BL82 BT7:BT82 BH7:BH82 BD7:BD82 AZ7:AZ82" xr:uid="{CF77235B-65FC-4D0E-B21F-339C09F1960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95A66CD3-F816-4370-A1A6-4222732CCE24}">
          <x14:formula1>
            <xm:f>Sheet3!$J$153:$J$168</xm:f>
          </x14:formula1>
          <xm:sqref>H7:H82 N7:N82 R7:R82 V7:V82 Z7:Z82 AD7:AD82 AH7:AH82 AL7:AL82 AP7:AP82 AT7:AT82</xm:sqref>
        </x14:dataValidation>
        <x14:dataValidation type="list" allowBlank="1" showInputMessage="1" showErrorMessage="1" xr:uid="{DD4279CE-7095-47D0-872C-BE5FB1FA63AA}">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18D35-88AE-4F0A-AA18-4854F51A4BF5}">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217">
      <formula>$B7="v"</formula>
    </cfRule>
  </conditionalFormatting>
  <conditionalFormatting sqref="X7:Y82 T7:U82 AJ7:AK82 AF7:AG82 AB7:AC82 AR7:AS82 AN7:AO82 BH7:BI82 BD7:BE82 AZ7:BA82 BT7:BU82 BP7:BQ82 BL7:BM82">
    <cfRule type="expression" dxfId="443" priority="220">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4">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86">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88">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0">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194">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197">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0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05">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1">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14">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BP7:BP82 AV7:AV82 BL7:BL82 BT7:BT82 BH7:BH82 BD7:BD82 AZ7:AZ82" xr:uid="{59836DFB-B633-49AC-BD82-EC8989599281}">
      <formula1>"&lt;, &lt;=, &gt;, &gt;=, ="</formula1>
    </dataValidation>
    <dataValidation type="list" allowBlank="1" showInputMessage="1" showErrorMessage="1" sqref="B7:B82" xr:uid="{3DEA99F2-D0C0-4A4E-B47E-41326E27FF35}">
      <formula1>"v"</formula1>
    </dataValidation>
    <dataValidation type="list" allowBlank="1" showInputMessage="1" showErrorMessage="1" sqref="F2" xr:uid="{E1130AFF-77E2-44AE-BD23-C14E025C4571}">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4B1BD89-7D02-49F8-A413-627D93EAB3F7}">
          <x14:formula1>
            <xm:f>Sheet3!$A$2:$A$49</xm:f>
          </x14:formula1>
          <xm:sqref>F3</xm:sqref>
        </x14:dataValidation>
        <x14:dataValidation type="list" allowBlank="1" showInputMessage="1" xr:uid="{45EE0193-CC7F-4895-902A-DE99C556FC61}">
          <x14:formula1>
            <xm:f>Sheet3!$J$153:$J$168</xm:f>
          </x14:formula1>
          <xm:sqref>H7:H82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76A67-2A74-4D3E-8CDB-9C2A7E60AC10}">
  <sheetPr codeName="Sheet13">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217">
      <formula>$B7="v"</formula>
    </cfRule>
  </conditionalFormatting>
  <conditionalFormatting sqref="X7:Y82 T7:U82 AJ7:AK82 AF7:AG82 AB7:AC82 AR7:AS82 AN7:AO82 BH7:BI82 BD7:BE82 AZ7:BA82 BT7:BU82 BP7:BQ82 BL7:BM82">
    <cfRule type="expression" dxfId="216" priority="220">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4">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86">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88">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0">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194">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197">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0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05">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1">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14">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F2" xr:uid="{B6EA35B0-D2B9-45D7-970C-B061872A9E83}">
      <formula1>"1, 2, 3, 4, 5, 6, 7, 8, 9, 10, 11, 12, 13, 14, 15, 16, 17"</formula1>
    </dataValidation>
    <dataValidation type="list" allowBlank="1" showInputMessage="1" showErrorMessage="1" sqref="B7:B82" xr:uid="{E48C09F7-DAE5-4A3D-B2D1-9AA07882942C}">
      <formula1>"v"</formula1>
    </dataValidation>
    <dataValidation type="list" allowBlank="1" showInputMessage="1" showErrorMessage="1" sqref="BP7:BP82 AV7:AV82 BL7:BL82 BT7:BT82 BH7:BH82 BD7:BD82 AZ7:AZ82" xr:uid="{D8283AB5-E6D5-4278-BEC6-4A1CFC3DD2CC}">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B83A299-A26C-470F-B873-59527D80DDAD}">
          <x14:formula1>
            <xm:f>Sheet3!$J$153:$J$168</xm:f>
          </x14:formula1>
          <xm:sqref>H7:H82 N7:N82 R7:R82 V7:V82 Z7:Z82 AD7:AD82 AH7:AH82 AL7:AL82 AP7:AP82 AT7:AT82</xm:sqref>
        </x14:dataValidation>
        <x14:dataValidation type="list" allowBlank="1" showInputMessage="1" showErrorMessage="1" xr:uid="{8921C581-B98F-4206-A42A-639DD58DE0D8}">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7.399999999999999"/>
  <cols>
    <col min="2" max="2" width="11.09765625" bestFit="1" customWidth="1"/>
    <col min="10" max="10" width="30.19921875" customWidth="1"/>
  </cols>
  <sheetData>
    <row r="1" spans="1:27">
      <c r="A1" t="s">
        <v>7</v>
      </c>
      <c r="I1" t="s">
        <v>21</v>
      </c>
      <c r="J1" t="s">
        <v>22</v>
      </c>
      <c r="K1" t="s">
        <v>23</v>
      </c>
      <c r="L1" s="150" t="s">
        <v>365</v>
      </c>
      <c r="N1" t="s">
        <v>333</v>
      </c>
      <c r="O1" t="s">
        <v>334</v>
      </c>
      <c r="Q1" t="s">
        <v>335</v>
      </c>
      <c r="R1" t="s">
        <v>336</v>
      </c>
      <c r="S1" t="s">
        <v>337</v>
      </c>
      <c r="T1" t="s">
        <v>338</v>
      </c>
      <c r="AA1" t="b">
        <v>1</v>
      </c>
    </row>
    <row r="2" spans="1:27">
      <c r="A2" t="s">
        <v>306</v>
      </c>
      <c r="I2" t="s">
        <v>24</v>
      </c>
      <c r="J2" t="s">
        <v>25</v>
      </c>
      <c r="K2" t="s">
        <v>23</v>
      </c>
      <c r="L2" s="150" t="s">
        <v>365</v>
      </c>
      <c r="N2">
        <v>0</v>
      </c>
      <c r="O2">
        <v>1.0752999999999999</v>
      </c>
      <c r="Q2">
        <v>0.65349999999999997</v>
      </c>
      <c r="R2">
        <v>85</v>
      </c>
      <c r="S2">
        <v>0.65359999999999996</v>
      </c>
      <c r="T2">
        <v>0.65239999999999998</v>
      </c>
      <c r="AA2" t="b">
        <v>0</v>
      </c>
    </row>
    <row r="3" spans="1:27">
      <c r="A3" t="s">
        <v>307</v>
      </c>
      <c r="I3" t="s">
        <v>26</v>
      </c>
      <c r="J3" t="s">
        <v>27</v>
      </c>
      <c r="K3" t="s">
        <v>23</v>
      </c>
      <c r="L3" s="150" t="s">
        <v>365</v>
      </c>
      <c r="N3">
        <v>0.1</v>
      </c>
      <c r="O3">
        <v>1.0745</v>
      </c>
      <c r="Q3">
        <v>0.65380000000000005</v>
      </c>
      <c r="R3">
        <v>84.9</v>
      </c>
      <c r="S3">
        <v>0.65390000000000004</v>
      </c>
      <c r="T3">
        <v>0.65269999999999995</v>
      </c>
    </row>
    <row r="4" spans="1:27">
      <c r="A4" t="s">
        <v>308</v>
      </c>
      <c r="I4" t="s">
        <v>28</v>
      </c>
      <c r="J4" t="s">
        <v>29</v>
      </c>
      <c r="K4" t="s">
        <v>23</v>
      </c>
      <c r="L4" s="150" t="s">
        <v>365</v>
      </c>
      <c r="N4">
        <v>0.2</v>
      </c>
      <c r="O4">
        <v>1.0737000000000001</v>
      </c>
      <c r="Q4">
        <v>0.65410000000000001</v>
      </c>
      <c r="R4">
        <v>84.8</v>
      </c>
      <c r="S4">
        <v>0.6542</v>
      </c>
      <c r="T4">
        <v>0.65300000000000002</v>
      </c>
    </row>
    <row r="5" spans="1:27">
      <c r="A5" t="s">
        <v>309</v>
      </c>
      <c r="I5" t="s">
        <v>30</v>
      </c>
      <c r="J5" t="s">
        <v>31</v>
      </c>
      <c r="K5" t="s">
        <v>23</v>
      </c>
      <c r="L5" s="150" t="s">
        <v>365</v>
      </c>
      <c r="N5">
        <v>0.3</v>
      </c>
      <c r="O5">
        <v>1.0729</v>
      </c>
      <c r="Q5">
        <v>0.65439999999999998</v>
      </c>
      <c r="R5">
        <v>84.7</v>
      </c>
      <c r="S5">
        <v>0.65449999999999997</v>
      </c>
      <c r="T5">
        <v>0.65329999999999999</v>
      </c>
    </row>
    <row r="6" spans="1:27">
      <c r="A6" t="s">
        <v>310</v>
      </c>
      <c r="I6" t="s">
        <v>32</v>
      </c>
      <c r="J6" t="s">
        <v>33</v>
      </c>
      <c r="K6" t="s">
        <v>23</v>
      </c>
      <c r="L6" s="150" t="s">
        <v>365</v>
      </c>
      <c r="N6">
        <v>0.4</v>
      </c>
      <c r="O6">
        <v>1.0721000000000001</v>
      </c>
      <c r="Q6">
        <v>0.65469999999999995</v>
      </c>
      <c r="R6">
        <v>84.6</v>
      </c>
      <c r="S6">
        <v>0.65480000000000005</v>
      </c>
      <c r="T6">
        <v>0.65359999999999996</v>
      </c>
    </row>
    <row r="7" spans="1:27">
      <c r="A7" t="s">
        <v>311</v>
      </c>
      <c r="I7" t="s">
        <v>34</v>
      </c>
      <c r="J7" t="s">
        <v>35</v>
      </c>
      <c r="K7" t="s">
        <v>23</v>
      </c>
      <c r="L7" s="150" t="s">
        <v>365</v>
      </c>
      <c r="N7">
        <v>0.5</v>
      </c>
      <c r="O7">
        <v>1.0712999999999999</v>
      </c>
      <c r="Q7">
        <v>0.65500000000000003</v>
      </c>
      <c r="R7">
        <v>84.5</v>
      </c>
      <c r="S7">
        <v>0.65510000000000002</v>
      </c>
      <c r="T7">
        <v>0.65390000000000004</v>
      </c>
    </row>
    <row r="8" spans="1:27">
      <c r="A8" t="s">
        <v>312</v>
      </c>
      <c r="I8" t="s">
        <v>36</v>
      </c>
      <c r="J8" t="s">
        <v>37</v>
      </c>
      <c r="K8" t="s">
        <v>23</v>
      </c>
      <c r="L8" s="150" t="s">
        <v>365</v>
      </c>
      <c r="N8">
        <v>0.6</v>
      </c>
      <c r="O8">
        <v>1.0705</v>
      </c>
      <c r="Q8">
        <v>0.65529999999999999</v>
      </c>
      <c r="R8">
        <v>84.4</v>
      </c>
      <c r="S8">
        <v>0.65539999999999998</v>
      </c>
      <c r="T8">
        <v>0.6542</v>
      </c>
    </row>
    <row r="9" spans="1:27">
      <c r="A9" t="s">
        <v>266</v>
      </c>
      <c r="I9" t="s">
        <v>38</v>
      </c>
      <c r="J9" t="s">
        <v>39</v>
      </c>
      <c r="K9" t="s">
        <v>23</v>
      </c>
      <c r="L9" s="150" t="s">
        <v>365</v>
      </c>
      <c r="N9">
        <v>0.7</v>
      </c>
      <c r="O9">
        <v>1.0697000000000001</v>
      </c>
      <c r="Q9">
        <v>0.65559999999999996</v>
      </c>
      <c r="R9">
        <v>84.3</v>
      </c>
      <c r="S9">
        <v>0.65569999999999995</v>
      </c>
      <c r="T9">
        <v>0.65449999999999997</v>
      </c>
    </row>
    <row r="10" spans="1:27">
      <c r="A10" t="s">
        <v>267</v>
      </c>
      <c r="I10" t="s">
        <v>40</v>
      </c>
      <c r="J10" t="s">
        <v>41</v>
      </c>
      <c r="K10" t="s">
        <v>23</v>
      </c>
      <c r="L10" s="150" t="s">
        <v>365</v>
      </c>
      <c r="N10">
        <v>0.8</v>
      </c>
      <c r="O10">
        <v>1.0688</v>
      </c>
      <c r="Q10">
        <v>0.65590000000000004</v>
      </c>
      <c r="R10">
        <v>84.2</v>
      </c>
      <c r="S10">
        <v>0.65600000000000003</v>
      </c>
      <c r="T10">
        <v>0.65480000000000005</v>
      </c>
    </row>
    <row r="11" spans="1:27">
      <c r="A11" t="s">
        <v>268</v>
      </c>
      <c r="I11" t="s">
        <v>42</v>
      </c>
      <c r="J11" t="s">
        <v>43</v>
      </c>
      <c r="K11" t="s">
        <v>23</v>
      </c>
      <c r="L11" s="150" t="s">
        <v>365</v>
      </c>
      <c r="N11">
        <v>0.9</v>
      </c>
      <c r="O11">
        <v>1.0680000000000001</v>
      </c>
      <c r="Q11">
        <v>0.65620000000000001</v>
      </c>
      <c r="R11">
        <v>84.1</v>
      </c>
      <c r="S11">
        <v>0.65629999999999999</v>
      </c>
      <c r="T11">
        <v>0.65510000000000002</v>
      </c>
    </row>
    <row r="12" spans="1:27">
      <c r="A12" t="s">
        <v>269</v>
      </c>
      <c r="I12" t="s">
        <v>44</v>
      </c>
      <c r="J12" t="s">
        <v>45</v>
      </c>
      <c r="K12" t="s">
        <v>23</v>
      </c>
      <c r="L12" s="150" t="s">
        <v>365</v>
      </c>
      <c r="N12">
        <v>1</v>
      </c>
      <c r="O12">
        <v>1.0671999999999999</v>
      </c>
      <c r="Q12">
        <v>0.65649999999999997</v>
      </c>
      <c r="R12">
        <v>84</v>
      </c>
      <c r="S12">
        <v>0.65659999999999996</v>
      </c>
      <c r="T12">
        <v>0.65539999999999998</v>
      </c>
    </row>
    <row r="13" spans="1:27">
      <c r="A13" t="s">
        <v>270</v>
      </c>
      <c r="I13" t="s">
        <v>46</v>
      </c>
      <c r="J13" t="s">
        <v>47</v>
      </c>
      <c r="K13" t="s">
        <v>23</v>
      </c>
      <c r="L13" s="150" t="s">
        <v>365</v>
      </c>
      <c r="N13">
        <v>1.1000000000000001</v>
      </c>
      <c r="O13">
        <v>1.0664</v>
      </c>
      <c r="Q13">
        <v>0.65680000000000005</v>
      </c>
      <c r="R13">
        <v>83.9</v>
      </c>
      <c r="S13">
        <v>0.65690000000000004</v>
      </c>
      <c r="T13">
        <v>0.65569999999999995</v>
      </c>
    </row>
    <row r="14" spans="1:27">
      <c r="A14" t="s">
        <v>271</v>
      </c>
      <c r="I14" t="s">
        <v>48</v>
      </c>
      <c r="J14" t="s">
        <v>49</v>
      </c>
      <c r="K14" t="s">
        <v>23</v>
      </c>
      <c r="L14" s="150" t="s">
        <v>365</v>
      </c>
      <c r="N14">
        <v>1.2</v>
      </c>
      <c r="O14">
        <v>1.0656000000000001</v>
      </c>
      <c r="Q14">
        <v>0.65710000000000002</v>
      </c>
      <c r="R14">
        <v>83.8</v>
      </c>
      <c r="S14">
        <v>0.65720000000000001</v>
      </c>
      <c r="T14">
        <v>0.65600000000000003</v>
      </c>
    </row>
    <row r="15" spans="1:27">
      <c r="A15" t="s">
        <v>272</v>
      </c>
      <c r="I15" t="s">
        <v>50</v>
      </c>
      <c r="J15" t="s">
        <v>51</v>
      </c>
      <c r="K15" t="s">
        <v>23</v>
      </c>
      <c r="L15" s="150" t="s">
        <v>365</v>
      </c>
      <c r="N15">
        <v>1.3</v>
      </c>
      <c r="O15">
        <v>1.0648</v>
      </c>
      <c r="Q15">
        <v>0.65739999999999998</v>
      </c>
      <c r="R15">
        <v>83.7</v>
      </c>
      <c r="S15">
        <v>0.65749999999999997</v>
      </c>
      <c r="T15">
        <v>0.65629999999999999</v>
      </c>
    </row>
    <row r="16" spans="1:27">
      <c r="A16" t="s">
        <v>273</v>
      </c>
      <c r="I16" t="s">
        <v>52</v>
      </c>
      <c r="J16" t="s">
        <v>53</v>
      </c>
      <c r="K16" t="s">
        <v>23</v>
      </c>
      <c r="L16" s="150" t="s">
        <v>365</v>
      </c>
      <c r="N16">
        <v>1.4</v>
      </c>
      <c r="O16">
        <v>1.0640000000000001</v>
      </c>
      <c r="Q16">
        <v>0.65769999999999995</v>
      </c>
      <c r="R16">
        <v>83.6</v>
      </c>
      <c r="S16">
        <v>0.65780000000000005</v>
      </c>
      <c r="T16">
        <v>0.65659999999999996</v>
      </c>
    </row>
    <row r="17" spans="1:20">
      <c r="A17" t="s">
        <v>274</v>
      </c>
      <c r="I17" t="s">
        <v>54</v>
      </c>
      <c r="J17" t="s">
        <v>55</v>
      </c>
      <c r="K17" t="s">
        <v>23</v>
      </c>
      <c r="L17" s="150" t="s">
        <v>365</v>
      </c>
      <c r="N17">
        <v>1.5</v>
      </c>
      <c r="O17">
        <v>1.0631999999999999</v>
      </c>
      <c r="Q17">
        <v>0.65800000000000003</v>
      </c>
      <c r="R17">
        <v>83.5</v>
      </c>
      <c r="S17">
        <v>0.65810000000000002</v>
      </c>
      <c r="T17">
        <v>0.65690000000000004</v>
      </c>
    </row>
    <row r="18" spans="1:20">
      <c r="A18" t="s">
        <v>275</v>
      </c>
      <c r="I18" t="s">
        <v>56</v>
      </c>
      <c r="J18" t="s">
        <v>57</v>
      </c>
      <c r="K18" t="s">
        <v>23</v>
      </c>
      <c r="L18" s="150" t="s">
        <v>365</v>
      </c>
      <c r="N18">
        <v>1.6</v>
      </c>
      <c r="O18">
        <v>1.0624</v>
      </c>
      <c r="Q18">
        <v>0.6583</v>
      </c>
      <c r="R18">
        <v>83.4</v>
      </c>
      <c r="S18">
        <v>0.65839999999999999</v>
      </c>
      <c r="T18">
        <v>0.65720000000000001</v>
      </c>
    </row>
    <row r="19" spans="1:20">
      <c r="A19" t="s">
        <v>276</v>
      </c>
      <c r="I19" t="s">
        <v>58</v>
      </c>
      <c r="J19" t="s">
        <v>59</v>
      </c>
      <c r="K19" t="s">
        <v>23</v>
      </c>
      <c r="L19" s="150" t="s">
        <v>365</v>
      </c>
      <c r="N19">
        <v>1.7</v>
      </c>
      <c r="O19">
        <v>1.0616000000000001</v>
      </c>
      <c r="Q19">
        <v>0.65859999999999996</v>
      </c>
      <c r="R19">
        <v>83.3</v>
      </c>
      <c r="S19">
        <v>0.65880000000000005</v>
      </c>
      <c r="T19">
        <v>0.65749999999999997</v>
      </c>
    </row>
    <row r="20" spans="1:20">
      <c r="A20" t="s">
        <v>277</v>
      </c>
      <c r="I20" t="s">
        <v>60</v>
      </c>
      <c r="J20" t="s">
        <v>61</v>
      </c>
      <c r="K20" t="s">
        <v>23</v>
      </c>
      <c r="L20" s="150" t="s">
        <v>365</v>
      </c>
      <c r="N20">
        <v>1.8</v>
      </c>
      <c r="O20">
        <v>1.0608</v>
      </c>
      <c r="Q20">
        <v>0.65890000000000004</v>
      </c>
      <c r="R20">
        <v>83.2</v>
      </c>
      <c r="S20">
        <v>0.65910000000000002</v>
      </c>
      <c r="T20">
        <v>0.65780000000000005</v>
      </c>
    </row>
    <row r="21" spans="1:20">
      <c r="A21" t="s">
        <v>278</v>
      </c>
      <c r="I21" t="s">
        <v>62</v>
      </c>
      <c r="J21" t="s">
        <v>63</v>
      </c>
      <c r="K21" t="s">
        <v>23</v>
      </c>
      <c r="L21" s="150" t="s">
        <v>365</v>
      </c>
      <c r="N21">
        <v>1.9</v>
      </c>
      <c r="O21">
        <v>1.06</v>
      </c>
      <c r="Q21">
        <v>0.6593</v>
      </c>
      <c r="R21">
        <v>83.1</v>
      </c>
      <c r="S21">
        <v>0.65939999999999999</v>
      </c>
      <c r="T21">
        <v>0.65820000000000001</v>
      </c>
    </row>
    <row r="22" spans="1:20">
      <c r="A22" t="s">
        <v>279</v>
      </c>
      <c r="I22" t="s">
        <v>64</v>
      </c>
      <c r="J22" t="s">
        <v>65</v>
      </c>
      <c r="K22" t="s">
        <v>23</v>
      </c>
      <c r="L22" s="150" t="s">
        <v>365</v>
      </c>
      <c r="N22">
        <v>2</v>
      </c>
      <c r="O22">
        <v>1.0591999999999999</v>
      </c>
      <c r="Q22">
        <v>0.65959999999999996</v>
      </c>
      <c r="R22">
        <v>83</v>
      </c>
      <c r="S22">
        <v>0.65969999999999995</v>
      </c>
      <c r="T22">
        <v>0.65849999999999997</v>
      </c>
    </row>
    <row r="23" spans="1:20">
      <c r="A23" t="s">
        <v>280</v>
      </c>
      <c r="I23" t="s">
        <v>66</v>
      </c>
      <c r="J23" t="s">
        <v>67</v>
      </c>
      <c r="K23" t="s">
        <v>23</v>
      </c>
      <c r="L23" s="150" t="s">
        <v>365</v>
      </c>
      <c r="N23">
        <v>2.1</v>
      </c>
      <c r="O23">
        <v>1.0585</v>
      </c>
      <c r="Q23">
        <v>0.65990000000000004</v>
      </c>
      <c r="R23">
        <v>82.9</v>
      </c>
      <c r="S23">
        <v>0.66</v>
      </c>
      <c r="T23">
        <v>0.65880000000000005</v>
      </c>
    </row>
    <row r="24" spans="1:20">
      <c r="A24" t="s">
        <v>281</v>
      </c>
      <c r="I24" t="s">
        <v>68</v>
      </c>
      <c r="J24" t="s">
        <v>69</v>
      </c>
      <c r="K24" t="s">
        <v>23</v>
      </c>
      <c r="L24" s="150" t="s">
        <v>365</v>
      </c>
      <c r="N24">
        <v>2.2000000000000002</v>
      </c>
      <c r="O24">
        <v>1.0577000000000001</v>
      </c>
      <c r="Q24">
        <v>0.66020000000000001</v>
      </c>
      <c r="R24">
        <v>82.8</v>
      </c>
      <c r="S24">
        <v>0.6603</v>
      </c>
      <c r="T24">
        <v>0.65910000000000002</v>
      </c>
    </row>
    <row r="25" spans="1:20">
      <c r="A25" t="s">
        <v>282</v>
      </c>
      <c r="I25" t="s">
        <v>70</v>
      </c>
      <c r="J25" t="s">
        <v>71</v>
      </c>
      <c r="K25" t="s">
        <v>23</v>
      </c>
      <c r="L25" s="150" t="s">
        <v>365</v>
      </c>
      <c r="N25">
        <v>2.2999999999999998</v>
      </c>
      <c r="O25">
        <v>1.0569</v>
      </c>
      <c r="Q25">
        <v>0.66049999999999998</v>
      </c>
      <c r="R25">
        <v>82.7</v>
      </c>
      <c r="S25">
        <v>0.66059999999999997</v>
      </c>
      <c r="T25">
        <v>0.65939999999999999</v>
      </c>
    </row>
    <row r="26" spans="1:20">
      <c r="A26" t="s">
        <v>283</v>
      </c>
      <c r="I26" t="s">
        <v>72</v>
      </c>
      <c r="J26" t="s">
        <v>73</v>
      </c>
      <c r="K26" t="s">
        <v>23</v>
      </c>
      <c r="L26" s="150" t="s">
        <v>365</v>
      </c>
      <c r="N26">
        <v>2.4</v>
      </c>
      <c r="O26">
        <v>1.0561</v>
      </c>
      <c r="Q26">
        <v>0.66080000000000005</v>
      </c>
      <c r="R26">
        <v>82.6</v>
      </c>
      <c r="S26">
        <v>0.66090000000000004</v>
      </c>
      <c r="T26">
        <v>0.65969999999999995</v>
      </c>
    </row>
    <row r="27" spans="1:20">
      <c r="A27" t="s">
        <v>284</v>
      </c>
      <c r="I27" t="s">
        <v>74</v>
      </c>
      <c r="J27" t="s">
        <v>75</v>
      </c>
      <c r="K27" t="s">
        <v>23</v>
      </c>
      <c r="L27" s="150" t="s">
        <v>365</v>
      </c>
      <c r="N27">
        <v>2.5</v>
      </c>
      <c r="O27">
        <v>1.0552999999999999</v>
      </c>
      <c r="Q27">
        <v>0.66110000000000002</v>
      </c>
      <c r="R27">
        <v>82.5</v>
      </c>
      <c r="S27">
        <v>0.66120000000000001</v>
      </c>
      <c r="T27">
        <v>0.66</v>
      </c>
    </row>
    <row r="28" spans="1:20">
      <c r="A28" t="s">
        <v>285</v>
      </c>
      <c r="I28" t="s">
        <v>76</v>
      </c>
      <c r="J28" t="s">
        <v>77</v>
      </c>
      <c r="K28" t="s">
        <v>23</v>
      </c>
      <c r="L28" s="150" t="s">
        <v>365</v>
      </c>
      <c r="N28">
        <v>2.6</v>
      </c>
      <c r="O28">
        <v>1.0545</v>
      </c>
      <c r="Q28">
        <v>0.66139999999999999</v>
      </c>
      <c r="R28">
        <v>82.4</v>
      </c>
      <c r="S28">
        <v>0.66149999999999998</v>
      </c>
      <c r="T28">
        <v>0.6603</v>
      </c>
    </row>
    <row r="29" spans="1:20">
      <c r="A29" t="s">
        <v>286</v>
      </c>
      <c r="I29" t="s">
        <v>78</v>
      </c>
      <c r="J29" t="s">
        <v>79</v>
      </c>
      <c r="K29" t="s">
        <v>23</v>
      </c>
      <c r="L29" s="150" t="s">
        <v>365</v>
      </c>
      <c r="N29">
        <v>2.7</v>
      </c>
      <c r="O29">
        <v>1.0537000000000001</v>
      </c>
      <c r="Q29">
        <v>0.66169999999999995</v>
      </c>
      <c r="R29">
        <v>82.3</v>
      </c>
      <c r="S29">
        <v>0.66180000000000005</v>
      </c>
      <c r="T29">
        <v>0.66059999999999997</v>
      </c>
    </row>
    <row r="30" spans="1:20">
      <c r="A30" t="s">
        <v>287</v>
      </c>
      <c r="F30" s="146"/>
      <c r="I30" t="s">
        <v>80</v>
      </c>
      <c r="J30" t="s">
        <v>81</v>
      </c>
      <c r="K30" t="s">
        <v>23</v>
      </c>
      <c r="L30" s="150" t="s">
        <v>365</v>
      </c>
      <c r="N30">
        <v>2.8</v>
      </c>
      <c r="O30">
        <v>1.0528999999999999</v>
      </c>
      <c r="Q30">
        <v>0.66200000000000003</v>
      </c>
      <c r="R30">
        <v>82.2</v>
      </c>
      <c r="S30">
        <v>0.66210000000000002</v>
      </c>
      <c r="T30">
        <v>0.66090000000000004</v>
      </c>
    </row>
    <row r="31" spans="1:20">
      <c r="A31" t="s">
        <v>288</v>
      </c>
      <c r="I31" t="s">
        <v>82</v>
      </c>
      <c r="J31" t="s">
        <v>83</v>
      </c>
      <c r="K31" t="s">
        <v>23</v>
      </c>
      <c r="L31" s="150" t="s">
        <v>365</v>
      </c>
      <c r="N31">
        <v>2.9</v>
      </c>
      <c r="O31">
        <v>1.0522</v>
      </c>
      <c r="Q31">
        <v>0.6623</v>
      </c>
      <c r="R31">
        <v>82.1</v>
      </c>
      <c r="S31">
        <v>0.66249999999999998</v>
      </c>
      <c r="T31">
        <v>0.66120000000000001</v>
      </c>
    </row>
    <row r="32" spans="1:20">
      <c r="A32" t="s">
        <v>289</v>
      </c>
      <c r="I32" t="s">
        <v>84</v>
      </c>
      <c r="J32" t="s">
        <v>85</v>
      </c>
      <c r="K32" t="s">
        <v>23</v>
      </c>
      <c r="L32" s="150" t="s">
        <v>365</v>
      </c>
      <c r="N32">
        <v>3</v>
      </c>
      <c r="O32">
        <v>1.0513999999999999</v>
      </c>
      <c r="Q32">
        <v>0.66259999999999997</v>
      </c>
      <c r="R32">
        <v>82</v>
      </c>
      <c r="S32">
        <v>0.66279999999999994</v>
      </c>
      <c r="T32">
        <v>0.66149999999999998</v>
      </c>
    </row>
    <row r="33" spans="1:20">
      <c r="A33" t="s">
        <v>290</v>
      </c>
      <c r="I33" t="s">
        <v>86</v>
      </c>
      <c r="J33" t="s">
        <v>87</v>
      </c>
      <c r="K33" t="s">
        <v>23</v>
      </c>
      <c r="L33" s="150" t="s">
        <v>365</v>
      </c>
      <c r="N33">
        <v>3.1</v>
      </c>
      <c r="O33">
        <v>1.0506</v>
      </c>
      <c r="Q33">
        <v>0.66300000000000003</v>
      </c>
      <c r="R33">
        <v>81.900000000000006</v>
      </c>
      <c r="S33">
        <v>0.66310000000000002</v>
      </c>
      <c r="T33">
        <v>0.66190000000000004</v>
      </c>
    </row>
    <row r="34" spans="1:20">
      <c r="A34" t="s">
        <v>291</v>
      </c>
      <c r="I34" t="s">
        <v>88</v>
      </c>
      <c r="J34" t="s">
        <v>89</v>
      </c>
      <c r="K34" t="s">
        <v>23</v>
      </c>
      <c r="L34" s="150" t="s">
        <v>365</v>
      </c>
      <c r="N34">
        <v>3.2</v>
      </c>
      <c r="O34">
        <v>1.0498000000000001</v>
      </c>
      <c r="Q34">
        <v>0.6633</v>
      </c>
      <c r="R34">
        <v>81.8</v>
      </c>
      <c r="S34">
        <v>0.66339999999999999</v>
      </c>
      <c r="T34">
        <v>0.66220000000000001</v>
      </c>
    </row>
    <row r="35" spans="1:20">
      <c r="A35" t="s">
        <v>292</v>
      </c>
      <c r="I35" t="s">
        <v>90</v>
      </c>
      <c r="J35" t="s">
        <v>91</v>
      </c>
      <c r="K35" t="s">
        <v>23</v>
      </c>
      <c r="L35" s="150" t="s">
        <v>365</v>
      </c>
      <c r="N35">
        <v>3.3</v>
      </c>
      <c r="O35">
        <v>1.0489999999999999</v>
      </c>
      <c r="Q35">
        <v>0.66359999999999997</v>
      </c>
      <c r="R35">
        <v>81.7</v>
      </c>
      <c r="S35">
        <v>0.66369999999999996</v>
      </c>
      <c r="T35">
        <v>0.66249999999999998</v>
      </c>
    </row>
    <row r="36" spans="1:20">
      <c r="A36" t="s">
        <v>293</v>
      </c>
      <c r="I36" t="s">
        <v>92</v>
      </c>
      <c r="J36" t="s">
        <v>93</v>
      </c>
      <c r="K36" t="s">
        <v>23</v>
      </c>
      <c r="L36" s="150" t="s">
        <v>365</v>
      </c>
      <c r="N36">
        <v>3.4</v>
      </c>
      <c r="O36">
        <v>1.0483</v>
      </c>
      <c r="Q36">
        <v>0.66390000000000005</v>
      </c>
      <c r="R36">
        <v>81.599999999999994</v>
      </c>
      <c r="S36">
        <v>0.66400000000000003</v>
      </c>
      <c r="T36">
        <v>0.66279999999999994</v>
      </c>
    </row>
    <row r="37" spans="1:20">
      <c r="A37" t="s">
        <v>294</v>
      </c>
      <c r="I37" t="s">
        <v>94</v>
      </c>
      <c r="J37" t="s">
        <v>95</v>
      </c>
      <c r="K37" t="s">
        <v>23</v>
      </c>
      <c r="L37" s="150" t="s">
        <v>365</v>
      </c>
      <c r="N37">
        <v>3.5</v>
      </c>
      <c r="O37">
        <v>1.0475000000000001</v>
      </c>
      <c r="Q37">
        <v>0.66420000000000001</v>
      </c>
      <c r="R37">
        <v>81.5</v>
      </c>
      <c r="S37">
        <v>0.6643</v>
      </c>
      <c r="T37">
        <v>0.66310000000000002</v>
      </c>
    </row>
    <row r="38" spans="1:20">
      <c r="A38" t="s">
        <v>295</v>
      </c>
      <c r="I38" t="s">
        <v>96</v>
      </c>
      <c r="J38" t="s">
        <v>97</v>
      </c>
      <c r="K38" t="s">
        <v>23</v>
      </c>
      <c r="L38" s="150" t="s">
        <v>365</v>
      </c>
      <c r="N38">
        <v>3.6</v>
      </c>
      <c r="O38">
        <v>1.0467</v>
      </c>
      <c r="Q38">
        <v>0.66449999999999998</v>
      </c>
      <c r="R38">
        <v>81.400000000000006</v>
      </c>
      <c r="S38">
        <v>0.66459999999999997</v>
      </c>
      <c r="T38">
        <v>0.66339999999999999</v>
      </c>
    </row>
    <row r="39" spans="1:20">
      <c r="A39" t="s">
        <v>296</v>
      </c>
      <c r="I39" t="s">
        <v>98</v>
      </c>
      <c r="J39" t="s">
        <v>99</v>
      </c>
      <c r="K39" t="s">
        <v>23</v>
      </c>
      <c r="L39" s="150" t="s">
        <v>365</v>
      </c>
      <c r="N39">
        <v>3.7</v>
      </c>
      <c r="O39">
        <v>1.0459000000000001</v>
      </c>
      <c r="Q39">
        <v>0.66479999999999995</v>
      </c>
      <c r="R39">
        <v>81.3</v>
      </c>
      <c r="S39">
        <v>0.66490000000000005</v>
      </c>
      <c r="T39">
        <v>0.66369999999999996</v>
      </c>
    </row>
    <row r="40" spans="1:20">
      <c r="A40" t="s">
        <v>297</v>
      </c>
      <c r="I40" t="s">
        <v>100</v>
      </c>
      <c r="J40" t="s">
        <v>101</v>
      </c>
      <c r="K40" t="s">
        <v>23</v>
      </c>
      <c r="L40" s="150" t="s">
        <v>365</v>
      </c>
      <c r="N40">
        <v>3.8</v>
      </c>
      <c r="O40">
        <v>1.0451999999999999</v>
      </c>
      <c r="Q40">
        <v>0.66510000000000002</v>
      </c>
      <c r="R40">
        <v>81.2</v>
      </c>
      <c r="S40">
        <v>0.6653</v>
      </c>
      <c r="T40">
        <v>0.66400000000000003</v>
      </c>
    </row>
    <row r="41" spans="1:20">
      <c r="A41" t="s">
        <v>298</v>
      </c>
      <c r="I41" t="s">
        <v>102</v>
      </c>
      <c r="J41" t="s">
        <v>103</v>
      </c>
      <c r="K41" t="s">
        <v>23</v>
      </c>
      <c r="L41" s="150" t="s">
        <v>365</v>
      </c>
      <c r="N41">
        <v>3.9</v>
      </c>
      <c r="O41">
        <v>1.0444</v>
      </c>
      <c r="Q41">
        <v>0.66539999999999999</v>
      </c>
      <c r="R41">
        <v>81.099999999999994</v>
      </c>
      <c r="S41">
        <v>0.66559999999999997</v>
      </c>
      <c r="T41">
        <v>0.6643</v>
      </c>
    </row>
    <row r="42" spans="1:20">
      <c r="A42" t="s">
        <v>299</v>
      </c>
      <c r="I42" t="s">
        <v>104</v>
      </c>
      <c r="J42" t="s">
        <v>105</v>
      </c>
      <c r="K42" t="s">
        <v>23</v>
      </c>
      <c r="L42" s="150" t="s">
        <v>365</v>
      </c>
      <c r="N42">
        <v>4</v>
      </c>
      <c r="O42">
        <v>1.0436000000000001</v>
      </c>
      <c r="Q42">
        <v>0.66579999999999995</v>
      </c>
      <c r="R42">
        <v>81</v>
      </c>
      <c r="S42">
        <v>0.66590000000000005</v>
      </c>
      <c r="T42">
        <v>0.66469999999999996</v>
      </c>
    </row>
    <row r="43" spans="1:20">
      <c r="A43" t="s">
        <v>300</v>
      </c>
      <c r="I43" t="s">
        <v>106</v>
      </c>
      <c r="J43" t="s">
        <v>107</v>
      </c>
      <c r="K43" t="s">
        <v>23</v>
      </c>
      <c r="L43" s="150" t="s">
        <v>365</v>
      </c>
      <c r="N43">
        <v>4.0999999999999996</v>
      </c>
      <c r="O43">
        <v>1.0427999999999999</v>
      </c>
      <c r="Q43">
        <v>0.66610000000000003</v>
      </c>
      <c r="R43">
        <v>80.900000000000006</v>
      </c>
      <c r="S43">
        <v>0.66620000000000001</v>
      </c>
      <c r="T43">
        <v>0.66500000000000004</v>
      </c>
    </row>
    <row r="44" spans="1:20">
      <c r="A44" t="s">
        <v>301</v>
      </c>
      <c r="I44" t="s">
        <v>108</v>
      </c>
      <c r="J44" t="s">
        <v>109</v>
      </c>
      <c r="K44" t="s">
        <v>23</v>
      </c>
      <c r="L44" s="150" t="s">
        <v>365</v>
      </c>
      <c r="N44">
        <v>4.2</v>
      </c>
      <c r="O44">
        <v>1.0421</v>
      </c>
      <c r="Q44">
        <v>0.66639999999999999</v>
      </c>
      <c r="R44">
        <v>80.8</v>
      </c>
      <c r="S44">
        <v>0.66649999999999998</v>
      </c>
      <c r="T44">
        <v>0.6653</v>
      </c>
    </row>
    <row r="45" spans="1:20">
      <c r="A45" t="s">
        <v>302</v>
      </c>
      <c r="I45" t="s">
        <v>110</v>
      </c>
      <c r="J45" t="s">
        <v>111</v>
      </c>
      <c r="K45" t="s">
        <v>23</v>
      </c>
      <c r="L45" s="150" t="s">
        <v>365</v>
      </c>
      <c r="N45">
        <v>4.3</v>
      </c>
      <c r="O45">
        <v>1.0412999999999999</v>
      </c>
      <c r="Q45">
        <v>0.66669999999999996</v>
      </c>
      <c r="R45">
        <v>80.7</v>
      </c>
      <c r="S45">
        <v>0.66679999999999995</v>
      </c>
      <c r="T45">
        <v>0.66559999999999997</v>
      </c>
    </row>
    <row r="46" spans="1:20">
      <c r="A46" t="s">
        <v>265</v>
      </c>
      <c r="I46" t="s">
        <v>112</v>
      </c>
      <c r="J46" t="s">
        <v>113</v>
      </c>
      <c r="K46" t="s">
        <v>23</v>
      </c>
      <c r="L46" s="150" t="s">
        <v>365</v>
      </c>
      <c r="N46">
        <v>4.4000000000000004</v>
      </c>
      <c r="O46">
        <v>1.0405</v>
      </c>
      <c r="Q46">
        <v>0.66700000000000004</v>
      </c>
      <c r="R46">
        <v>80.599999999999994</v>
      </c>
      <c r="S46">
        <v>0.66710000000000003</v>
      </c>
      <c r="T46">
        <v>0.66590000000000005</v>
      </c>
    </row>
    <row r="47" spans="1:20">
      <c r="A47" t="s">
        <v>303</v>
      </c>
      <c r="I47" t="s">
        <v>114</v>
      </c>
      <c r="J47" t="s">
        <v>115</v>
      </c>
      <c r="K47" t="s">
        <v>116</v>
      </c>
      <c r="L47" s="150" t="s">
        <v>366</v>
      </c>
      <c r="N47">
        <v>4.5</v>
      </c>
      <c r="O47">
        <v>1.0398000000000001</v>
      </c>
      <c r="Q47">
        <v>0.6673</v>
      </c>
      <c r="R47">
        <v>80.5</v>
      </c>
      <c r="S47">
        <v>0.66749999999999998</v>
      </c>
      <c r="T47">
        <v>0.66620000000000001</v>
      </c>
    </row>
    <row r="48" spans="1:20">
      <c r="A48" t="s">
        <v>304</v>
      </c>
      <c r="I48" t="s">
        <v>117</v>
      </c>
      <c r="J48" t="s">
        <v>118</v>
      </c>
      <c r="K48" t="s">
        <v>116</v>
      </c>
      <c r="L48" s="150" t="s">
        <v>366</v>
      </c>
      <c r="N48">
        <v>4.5999999999999996</v>
      </c>
      <c r="O48">
        <v>1.0389999999999999</v>
      </c>
      <c r="Q48">
        <v>0.66759999999999997</v>
      </c>
      <c r="R48">
        <v>80.400000000000006</v>
      </c>
      <c r="S48">
        <v>0.66779999999999995</v>
      </c>
      <c r="T48">
        <v>0.66649999999999998</v>
      </c>
    </row>
    <row r="49" spans="1:20">
      <c r="A49" t="s">
        <v>305</v>
      </c>
      <c r="I49" t="s">
        <v>119</v>
      </c>
      <c r="J49" t="s">
        <v>120</v>
      </c>
      <c r="K49" t="s">
        <v>116</v>
      </c>
      <c r="L49" s="150" t="s">
        <v>366</v>
      </c>
      <c r="N49">
        <v>4.7</v>
      </c>
      <c r="O49">
        <v>1.0383</v>
      </c>
      <c r="Q49">
        <v>0.66800000000000004</v>
      </c>
      <c r="R49">
        <v>80.3</v>
      </c>
      <c r="S49">
        <v>0.66810000000000003</v>
      </c>
      <c r="T49">
        <v>0.66690000000000005</v>
      </c>
    </row>
    <row r="50" spans="1:20">
      <c r="I50" t="s">
        <v>121</v>
      </c>
      <c r="J50" t="s">
        <v>122</v>
      </c>
      <c r="K50" t="s">
        <v>116</v>
      </c>
      <c r="L50" s="150" t="s">
        <v>366</v>
      </c>
      <c r="N50">
        <v>4.8</v>
      </c>
      <c r="O50">
        <v>1.0375000000000001</v>
      </c>
      <c r="Q50">
        <v>0.66830000000000001</v>
      </c>
      <c r="R50">
        <v>80.2</v>
      </c>
      <c r="S50">
        <v>0.66839999999999999</v>
      </c>
      <c r="T50">
        <v>0.66720000000000002</v>
      </c>
    </row>
    <row r="51" spans="1:20">
      <c r="I51" t="s">
        <v>123</v>
      </c>
      <c r="J51" t="s">
        <v>124</v>
      </c>
      <c r="K51" t="s">
        <v>116</v>
      </c>
      <c r="L51" s="150" t="s">
        <v>366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366</v>
      </c>
      <c r="N52">
        <v>5</v>
      </c>
      <c r="O52">
        <v>1.036</v>
      </c>
      <c r="Q52">
        <v>0.66890000000000005</v>
      </c>
      <c r="R52">
        <v>80</v>
      </c>
      <c r="S52">
        <v>0.66900000000000004</v>
      </c>
      <c r="T52">
        <v>0.66779999999999995</v>
      </c>
    </row>
    <row r="53" spans="1:20">
      <c r="A53" t="s">
        <v>209</v>
      </c>
      <c r="I53" t="s">
        <v>127</v>
      </c>
      <c r="J53" t="s">
        <v>128</v>
      </c>
      <c r="K53" t="s">
        <v>116</v>
      </c>
      <c r="L53" s="150" t="s">
        <v>366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366</v>
      </c>
      <c r="N54">
        <v>5.2</v>
      </c>
      <c r="O54">
        <v>1.0345</v>
      </c>
      <c r="Q54">
        <v>0.66949999999999998</v>
      </c>
      <c r="R54">
        <v>79.8</v>
      </c>
      <c r="S54">
        <v>0.66969999999999996</v>
      </c>
      <c r="T54">
        <v>0.66839999999999999</v>
      </c>
    </row>
    <row r="55" spans="1:20">
      <c r="A55" t="s">
        <v>211</v>
      </c>
      <c r="I55" t="s">
        <v>131</v>
      </c>
      <c r="J55" t="s">
        <v>132</v>
      </c>
      <c r="K55" t="s">
        <v>116</v>
      </c>
      <c r="L55" s="150" t="s">
        <v>366</v>
      </c>
      <c r="N55">
        <v>5.3</v>
      </c>
      <c r="O55">
        <v>1.0337000000000001</v>
      </c>
      <c r="Q55">
        <v>0.66990000000000005</v>
      </c>
      <c r="R55">
        <v>79.7</v>
      </c>
      <c r="S55">
        <v>0.67</v>
      </c>
      <c r="T55">
        <v>0.66879999999999995</v>
      </c>
    </row>
    <row r="56" spans="1:20">
      <c r="A56" t="s">
        <v>212</v>
      </c>
      <c r="I56" t="s">
        <v>133</v>
      </c>
      <c r="J56" t="s">
        <v>134</v>
      </c>
      <c r="K56" t="s">
        <v>116</v>
      </c>
      <c r="L56" s="150" t="s">
        <v>366</v>
      </c>
      <c r="N56">
        <v>5.4</v>
      </c>
      <c r="O56">
        <v>1.0329999999999999</v>
      </c>
      <c r="Q56">
        <v>0.67020000000000002</v>
      </c>
      <c r="R56">
        <v>79.599999999999994</v>
      </c>
      <c r="S56">
        <v>0.67030000000000001</v>
      </c>
      <c r="T56">
        <v>0.66910000000000003</v>
      </c>
    </row>
    <row r="57" spans="1:20">
      <c r="A57" t="s">
        <v>213</v>
      </c>
      <c r="I57" t="s">
        <v>135</v>
      </c>
      <c r="J57" t="s">
        <v>136</v>
      </c>
      <c r="K57" t="s">
        <v>116</v>
      </c>
      <c r="L57" s="150" t="s">
        <v>366</v>
      </c>
      <c r="N57">
        <v>5.5</v>
      </c>
      <c r="O57">
        <v>1.0322</v>
      </c>
      <c r="Q57">
        <v>0.67049999999999998</v>
      </c>
      <c r="R57">
        <v>79.5</v>
      </c>
      <c r="S57">
        <v>0.67059999999999997</v>
      </c>
      <c r="T57">
        <v>0.6694</v>
      </c>
    </row>
    <row r="58" spans="1:20">
      <c r="A58" t="s">
        <v>214</v>
      </c>
      <c r="I58" t="s">
        <v>137</v>
      </c>
      <c r="J58" t="s">
        <v>138</v>
      </c>
      <c r="K58" t="s">
        <v>116</v>
      </c>
      <c r="L58" s="150" t="s">
        <v>366</v>
      </c>
      <c r="N58">
        <v>5.6</v>
      </c>
      <c r="O58">
        <v>1.0314000000000001</v>
      </c>
      <c r="Q58">
        <v>0.67079999999999995</v>
      </c>
      <c r="R58">
        <v>79.400000000000006</v>
      </c>
      <c r="S58">
        <v>0.67090000000000005</v>
      </c>
      <c r="T58">
        <v>0.66969999999999996</v>
      </c>
    </row>
    <row r="59" spans="1:20">
      <c r="I59" t="s">
        <v>139</v>
      </c>
      <c r="J59" t="s">
        <v>140</v>
      </c>
      <c r="K59" t="s">
        <v>116</v>
      </c>
      <c r="L59" s="150" t="s">
        <v>366</v>
      </c>
      <c r="N59">
        <v>5.7</v>
      </c>
      <c r="O59">
        <v>1.0306999999999999</v>
      </c>
      <c r="Q59">
        <v>0.67110000000000003</v>
      </c>
      <c r="R59">
        <v>79.3</v>
      </c>
      <c r="S59">
        <v>0.67130000000000001</v>
      </c>
      <c r="T59">
        <v>0.67</v>
      </c>
    </row>
    <row r="60" spans="1:20">
      <c r="I60" t="s">
        <v>141</v>
      </c>
      <c r="J60" t="s">
        <v>142</v>
      </c>
      <c r="K60" t="s">
        <v>116</v>
      </c>
      <c r="L60" s="150" t="s">
        <v>366</v>
      </c>
      <c r="N60">
        <v>5.8</v>
      </c>
      <c r="O60">
        <v>1.0299</v>
      </c>
      <c r="Q60">
        <v>0.6714</v>
      </c>
      <c r="R60">
        <v>79.2</v>
      </c>
      <c r="S60">
        <v>0.67159999999999997</v>
      </c>
      <c r="T60">
        <v>0.67030000000000001</v>
      </c>
    </row>
    <row r="61" spans="1:20">
      <c r="I61" t="s">
        <v>143</v>
      </c>
      <c r="J61" t="s">
        <v>144</v>
      </c>
      <c r="K61" t="s">
        <v>116</v>
      </c>
      <c r="L61" s="150" t="s">
        <v>366</v>
      </c>
      <c r="N61">
        <v>5.9</v>
      </c>
      <c r="O61">
        <v>1.0291999999999999</v>
      </c>
      <c r="Q61">
        <v>0.67179999999999995</v>
      </c>
      <c r="R61">
        <v>79.099999999999994</v>
      </c>
      <c r="S61">
        <v>0.67190000000000005</v>
      </c>
      <c r="T61">
        <v>0.67069999999999996</v>
      </c>
    </row>
    <row r="62" spans="1:20">
      <c r="A62" t="s">
        <v>234</v>
      </c>
      <c r="I62" t="s">
        <v>145</v>
      </c>
      <c r="J62" t="s">
        <v>146</v>
      </c>
      <c r="K62" t="s">
        <v>116</v>
      </c>
      <c r="L62" s="150" t="s">
        <v>366</v>
      </c>
      <c r="N62">
        <v>6</v>
      </c>
      <c r="O62">
        <v>1.0284</v>
      </c>
      <c r="Q62">
        <v>0.67210000000000003</v>
      </c>
      <c r="R62">
        <v>79</v>
      </c>
      <c r="S62">
        <v>0.67220000000000002</v>
      </c>
      <c r="T62">
        <v>0.67100000000000004</v>
      </c>
    </row>
    <row r="63" spans="1:20">
      <c r="A63" t="s">
        <v>325</v>
      </c>
      <c r="I63" t="s">
        <v>147</v>
      </c>
      <c r="J63" t="s">
        <v>148</v>
      </c>
      <c r="K63" t="s">
        <v>116</v>
      </c>
      <c r="L63" s="150" t="s">
        <v>366</v>
      </c>
      <c r="N63">
        <v>6.1</v>
      </c>
      <c r="O63">
        <v>1.0277000000000001</v>
      </c>
      <c r="Q63">
        <v>0.6724</v>
      </c>
      <c r="R63">
        <v>78.900000000000006</v>
      </c>
      <c r="S63">
        <v>0.67249999999999999</v>
      </c>
      <c r="T63">
        <v>0.67130000000000001</v>
      </c>
    </row>
    <row r="64" spans="1:20">
      <c r="A64" t="s">
        <v>235</v>
      </c>
      <c r="I64" t="s">
        <v>149</v>
      </c>
      <c r="J64" t="s">
        <v>150</v>
      </c>
      <c r="K64" t="s">
        <v>116</v>
      </c>
      <c r="L64" s="150" t="s">
        <v>366</v>
      </c>
      <c r="N64">
        <v>6.2</v>
      </c>
      <c r="O64">
        <v>1.0269999999999999</v>
      </c>
      <c r="Q64">
        <v>0.67269999999999996</v>
      </c>
      <c r="R64">
        <v>78.8</v>
      </c>
      <c r="S64">
        <v>0.67279999999999995</v>
      </c>
      <c r="T64">
        <v>0.67159999999999997</v>
      </c>
    </row>
    <row r="65" spans="1:20">
      <c r="A65" t="s">
        <v>326</v>
      </c>
      <c r="I65" t="s">
        <v>151</v>
      </c>
      <c r="J65" t="s">
        <v>152</v>
      </c>
      <c r="K65" t="s">
        <v>116</v>
      </c>
      <c r="L65" s="150" t="s">
        <v>366</v>
      </c>
      <c r="N65">
        <v>6.3</v>
      </c>
      <c r="O65">
        <v>1.0262</v>
      </c>
      <c r="Q65">
        <v>0.67300000000000004</v>
      </c>
      <c r="R65">
        <v>78.7</v>
      </c>
      <c r="S65">
        <v>0.67320000000000002</v>
      </c>
      <c r="T65">
        <v>0.67190000000000005</v>
      </c>
    </row>
    <row r="66" spans="1:20">
      <c r="A66" t="s">
        <v>236</v>
      </c>
      <c r="I66" t="s">
        <v>153</v>
      </c>
      <c r="J66" t="s">
        <v>154</v>
      </c>
      <c r="K66" t="s">
        <v>116</v>
      </c>
      <c r="L66" s="150" t="s">
        <v>366</v>
      </c>
      <c r="N66">
        <v>6.4</v>
      </c>
      <c r="O66">
        <v>1.0255000000000001</v>
      </c>
      <c r="Q66">
        <v>0.6734</v>
      </c>
      <c r="R66">
        <v>78.599999999999994</v>
      </c>
      <c r="S66">
        <v>0.67349999999999999</v>
      </c>
      <c r="T66">
        <v>0.67230000000000001</v>
      </c>
    </row>
    <row r="67" spans="1:20">
      <c r="A67" t="s">
        <v>238</v>
      </c>
      <c r="I67" t="s">
        <v>155</v>
      </c>
      <c r="J67" t="s">
        <v>156</v>
      </c>
      <c r="K67" t="s">
        <v>116</v>
      </c>
      <c r="L67" s="150" t="s">
        <v>366</v>
      </c>
      <c r="N67">
        <v>6.5</v>
      </c>
      <c r="O67">
        <v>1.0246999999999999</v>
      </c>
      <c r="Q67">
        <v>0.67369999999999997</v>
      </c>
      <c r="R67">
        <v>78.5</v>
      </c>
      <c r="S67">
        <v>0.67379999999999995</v>
      </c>
      <c r="T67">
        <v>0.67259999999999998</v>
      </c>
    </row>
    <row r="68" spans="1:20">
      <c r="A68" t="s">
        <v>239</v>
      </c>
      <c r="I68" t="s">
        <v>157</v>
      </c>
      <c r="J68" t="s">
        <v>158</v>
      </c>
      <c r="K68" t="s">
        <v>159</v>
      </c>
      <c r="L68" s="150" t="s">
        <v>368</v>
      </c>
      <c r="N68">
        <v>6.6</v>
      </c>
      <c r="O68">
        <v>1.024</v>
      </c>
      <c r="Q68">
        <v>0.67400000000000004</v>
      </c>
      <c r="R68">
        <v>78.400000000000006</v>
      </c>
      <c r="S68">
        <v>0.67410000000000003</v>
      </c>
      <c r="T68">
        <v>0.67290000000000005</v>
      </c>
    </row>
    <row r="69" spans="1:20">
      <c r="A69" t="s">
        <v>327</v>
      </c>
      <c r="I69" t="s">
        <v>160</v>
      </c>
      <c r="J69" t="s">
        <v>161</v>
      </c>
      <c r="K69" t="s">
        <v>159</v>
      </c>
      <c r="L69" s="151" t="s">
        <v>368</v>
      </c>
      <c r="N69">
        <v>6.7</v>
      </c>
      <c r="O69">
        <v>1.0232000000000001</v>
      </c>
      <c r="Q69">
        <v>0.67430000000000001</v>
      </c>
      <c r="R69">
        <v>78.3</v>
      </c>
      <c r="S69">
        <v>0.67449999999999999</v>
      </c>
      <c r="T69">
        <v>0.67320000000000002</v>
      </c>
    </row>
    <row r="70" spans="1:20">
      <c r="A70" t="s">
        <v>328</v>
      </c>
      <c r="I70" t="s">
        <v>162</v>
      </c>
      <c r="J70" t="s">
        <v>163</v>
      </c>
      <c r="K70" t="s">
        <v>159</v>
      </c>
      <c r="L70" s="151" t="s">
        <v>368</v>
      </c>
      <c r="N70">
        <v>6.8</v>
      </c>
      <c r="O70">
        <v>1.0225</v>
      </c>
      <c r="Q70">
        <v>0.67459999999999998</v>
      </c>
      <c r="R70">
        <v>78.2</v>
      </c>
      <c r="S70">
        <v>0.67479999999999996</v>
      </c>
      <c r="T70">
        <v>0.67349999999999999</v>
      </c>
    </row>
    <row r="71" spans="1:20">
      <c r="A71" t="s">
        <v>237</v>
      </c>
      <c r="I71" t="s">
        <v>164</v>
      </c>
      <c r="J71" t="s">
        <v>165</v>
      </c>
      <c r="K71" t="s">
        <v>159</v>
      </c>
      <c r="L71" s="151" t="s">
        <v>368</v>
      </c>
      <c r="N71">
        <v>6.9</v>
      </c>
      <c r="O71">
        <v>1.0218</v>
      </c>
      <c r="Q71">
        <v>0.67500000000000004</v>
      </c>
      <c r="R71">
        <v>78.099999999999994</v>
      </c>
      <c r="S71">
        <v>0.67510000000000003</v>
      </c>
      <c r="T71">
        <v>0.67390000000000005</v>
      </c>
    </row>
    <row r="72" spans="1:20">
      <c r="A72" t="s">
        <v>329</v>
      </c>
      <c r="I72" t="s">
        <v>166</v>
      </c>
      <c r="J72" t="s">
        <v>167</v>
      </c>
      <c r="K72" t="s">
        <v>159</v>
      </c>
      <c r="L72" s="151" t="s">
        <v>368</v>
      </c>
      <c r="N72">
        <v>7</v>
      </c>
      <c r="O72">
        <v>1.0209999999999999</v>
      </c>
      <c r="Q72">
        <v>0.67530000000000001</v>
      </c>
      <c r="R72">
        <v>78</v>
      </c>
      <c r="S72">
        <v>0.6754</v>
      </c>
      <c r="T72">
        <v>0.67420000000000002</v>
      </c>
    </row>
    <row r="73" spans="1:20">
      <c r="A73" t="s">
        <v>240</v>
      </c>
      <c r="I73" t="s">
        <v>168</v>
      </c>
      <c r="J73" t="s">
        <v>169</v>
      </c>
      <c r="K73" t="s">
        <v>159</v>
      </c>
      <c r="L73" s="151" t="s">
        <v>368</v>
      </c>
      <c r="N73">
        <v>7.1</v>
      </c>
      <c r="O73">
        <v>1.0203</v>
      </c>
      <c r="Q73">
        <v>0.67559999999999998</v>
      </c>
      <c r="R73">
        <v>77.900000000000006</v>
      </c>
      <c r="S73">
        <v>0.67569999999999997</v>
      </c>
      <c r="T73">
        <v>0.67449999999999999</v>
      </c>
    </row>
    <row r="74" spans="1:20">
      <c r="A74" t="s">
        <v>241</v>
      </c>
      <c r="I74" t="s">
        <v>170</v>
      </c>
      <c r="J74" t="s">
        <v>171</v>
      </c>
      <c r="K74" t="s">
        <v>159</v>
      </c>
      <c r="L74" s="151" t="s">
        <v>368</v>
      </c>
      <c r="N74">
        <v>7.2</v>
      </c>
      <c r="O74">
        <v>1.0196000000000001</v>
      </c>
      <c r="Q74">
        <v>0.67589999999999995</v>
      </c>
      <c r="R74">
        <v>77.8</v>
      </c>
      <c r="S74">
        <v>0.67610000000000003</v>
      </c>
      <c r="T74">
        <v>0.67479999999999996</v>
      </c>
    </row>
    <row r="75" spans="1:20">
      <c r="I75" t="s">
        <v>172</v>
      </c>
      <c r="J75" t="s">
        <v>173</v>
      </c>
      <c r="K75" t="s">
        <v>159</v>
      </c>
      <c r="L75" s="151" t="s">
        <v>368</v>
      </c>
      <c r="N75">
        <v>7.3</v>
      </c>
      <c r="O75">
        <v>1.0187999999999999</v>
      </c>
      <c r="Q75">
        <v>0.67620000000000002</v>
      </c>
      <c r="R75">
        <v>77.7</v>
      </c>
      <c r="S75">
        <v>0.6764</v>
      </c>
      <c r="T75">
        <v>0.67510000000000003</v>
      </c>
    </row>
    <row r="76" spans="1:20">
      <c r="I76" t="s">
        <v>174</v>
      </c>
      <c r="J76" t="s">
        <v>175</v>
      </c>
      <c r="K76" t="s">
        <v>159</v>
      </c>
      <c r="L76" s="151" t="s">
        <v>368</v>
      </c>
      <c r="N76">
        <v>7.4</v>
      </c>
      <c r="O76">
        <v>1.0181</v>
      </c>
      <c r="Q76">
        <v>0.67659999999999998</v>
      </c>
      <c r="R76">
        <v>77.599999999999994</v>
      </c>
      <c r="S76">
        <v>0.67669999999999997</v>
      </c>
      <c r="T76">
        <v>0.67549999999999999</v>
      </c>
    </row>
    <row r="77" spans="1:20">
      <c r="I77" t="s">
        <v>176</v>
      </c>
      <c r="J77" t="s">
        <v>177</v>
      </c>
      <c r="K77" t="s">
        <v>178</v>
      </c>
      <c r="L77" s="151" t="s">
        <v>368</v>
      </c>
      <c r="N77">
        <v>7.5</v>
      </c>
      <c r="O77">
        <v>1.0174000000000001</v>
      </c>
      <c r="Q77">
        <v>0.67689999999999995</v>
      </c>
      <c r="R77">
        <v>77.5</v>
      </c>
      <c r="S77">
        <v>0.67700000000000005</v>
      </c>
      <c r="T77">
        <v>0.67579999999999996</v>
      </c>
    </row>
    <row r="78" spans="1:20">
      <c r="I78" t="s">
        <v>179</v>
      </c>
      <c r="J78" t="s">
        <v>180</v>
      </c>
      <c r="K78" t="s">
        <v>178</v>
      </c>
      <c r="L78" s="151" t="s">
        <v>368</v>
      </c>
      <c r="N78">
        <v>7.6</v>
      </c>
      <c r="O78">
        <v>1.0165999999999999</v>
      </c>
      <c r="Q78">
        <v>0.67720000000000002</v>
      </c>
      <c r="R78">
        <v>77.400000000000006</v>
      </c>
      <c r="S78">
        <v>0.6774</v>
      </c>
      <c r="T78">
        <v>0.67610000000000003</v>
      </c>
    </row>
    <row r="79" spans="1:20">
      <c r="A79" t="s">
        <v>244</v>
      </c>
      <c r="I79" t="s">
        <v>181</v>
      </c>
      <c r="J79" t="s">
        <v>182</v>
      </c>
      <c r="K79" t="s">
        <v>178</v>
      </c>
      <c r="L79" s="151" t="s">
        <v>368</v>
      </c>
      <c r="N79">
        <v>7.7</v>
      </c>
      <c r="O79">
        <v>1.0159</v>
      </c>
      <c r="Q79">
        <v>0.67749999999999999</v>
      </c>
      <c r="R79">
        <v>77.3</v>
      </c>
      <c r="S79">
        <v>0.67769999999999997</v>
      </c>
      <c r="T79">
        <v>0.6764</v>
      </c>
    </row>
    <row r="80" spans="1:20">
      <c r="A80" t="s">
        <v>247</v>
      </c>
      <c r="I80" t="s">
        <v>183</v>
      </c>
      <c r="J80" t="s">
        <v>184</v>
      </c>
      <c r="K80" t="s">
        <v>178</v>
      </c>
      <c r="L80" s="151" t="s">
        <v>368</v>
      </c>
      <c r="N80">
        <v>7.8</v>
      </c>
      <c r="O80">
        <v>1.0152000000000001</v>
      </c>
      <c r="Q80">
        <v>0.67789999999999995</v>
      </c>
      <c r="R80">
        <v>77.2</v>
      </c>
      <c r="S80">
        <v>0.67800000000000005</v>
      </c>
      <c r="T80">
        <v>0.67679999999999996</v>
      </c>
    </row>
    <row r="81" spans="1:20">
      <c r="A81" t="s">
        <v>245</v>
      </c>
      <c r="I81" t="s">
        <v>185</v>
      </c>
      <c r="J81" t="s">
        <v>186</v>
      </c>
      <c r="K81" t="s">
        <v>187</v>
      </c>
      <c r="L81" s="150" t="s">
        <v>367</v>
      </c>
      <c r="N81">
        <v>7.9</v>
      </c>
      <c r="O81">
        <v>1.0144</v>
      </c>
      <c r="Q81">
        <v>0.67820000000000003</v>
      </c>
      <c r="R81">
        <v>77.099999999999994</v>
      </c>
      <c r="S81">
        <v>0.67830000000000001</v>
      </c>
      <c r="T81">
        <v>0.67710000000000004</v>
      </c>
    </row>
    <row r="82" spans="1:20">
      <c r="I82" t="s">
        <v>188</v>
      </c>
      <c r="J82" t="s">
        <v>189</v>
      </c>
      <c r="K82" t="s">
        <v>187</v>
      </c>
      <c r="L82" s="151" t="s">
        <v>367</v>
      </c>
      <c r="N82">
        <v>8</v>
      </c>
      <c r="O82">
        <v>1.0137</v>
      </c>
      <c r="Q82">
        <v>0.67849999999999999</v>
      </c>
      <c r="R82">
        <v>77</v>
      </c>
      <c r="S82">
        <v>0.67869999999999997</v>
      </c>
      <c r="T82">
        <v>0.6774</v>
      </c>
    </row>
    <row r="83" spans="1:20">
      <c r="I83" t="s">
        <v>190</v>
      </c>
      <c r="J83" t="s">
        <v>191</v>
      </c>
      <c r="K83" t="s">
        <v>187</v>
      </c>
      <c r="L83" s="151" t="s">
        <v>367</v>
      </c>
      <c r="N83">
        <v>8.1</v>
      </c>
      <c r="O83">
        <v>1.0129999999999999</v>
      </c>
      <c r="Q83">
        <v>0.67879999999999996</v>
      </c>
      <c r="R83">
        <v>76.900000000000006</v>
      </c>
      <c r="S83">
        <v>0.67900000000000005</v>
      </c>
      <c r="T83">
        <v>0.67769999999999997</v>
      </c>
    </row>
    <row r="84" spans="1:20">
      <c r="I84" t="s">
        <v>192</v>
      </c>
      <c r="J84" t="s">
        <v>193</v>
      </c>
      <c r="K84" t="s">
        <v>187</v>
      </c>
      <c r="L84" s="151" t="s">
        <v>367</v>
      </c>
      <c r="N84">
        <v>8.1999999999999993</v>
      </c>
      <c r="O84">
        <v>1.0123</v>
      </c>
      <c r="Q84">
        <v>0.67920000000000003</v>
      </c>
      <c r="R84">
        <v>76.8</v>
      </c>
      <c r="S84">
        <v>0.67930000000000001</v>
      </c>
      <c r="T84">
        <v>0.67810000000000004</v>
      </c>
    </row>
    <row r="85" spans="1:20">
      <c r="I85" t="s">
        <v>221</v>
      </c>
      <c r="J85" t="s">
        <v>220</v>
      </c>
      <c r="K85" t="s">
        <v>222</v>
      </c>
      <c r="L85" s="151" t="s">
        <v>367</v>
      </c>
      <c r="N85">
        <v>8.3000000000000007</v>
      </c>
      <c r="O85">
        <v>1.0115000000000001</v>
      </c>
      <c r="Q85">
        <v>0.67949999999999999</v>
      </c>
      <c r="R85">
        <v>76.7</v>
      </c>
      <c r="S85">
        <v>0.67959999999999998</v>
      </c>
      <c r="T85">
        <v>0.6784</v>
      </c>
    </row>
    <row r="86" spans="1:20">
      <c r="A86" t="s">
        <v>390</v>
      </c>
      <c r="B86" s="154">
        <f ca="1">TODAY()</f>
        <v>45244</v>
      </c>
      <c r="I86" t="s">
        <v>250</v>
      </c>
      <c r="J86" t="s">
        <v>251</v>
      </c>
      <c r="K86" t="s">
        <v>250</v>
      </c>
      <c r="L86" s="150" t="s">
        <v>385</v>
      </c>
      <c r="N86">
        <v>8.4</v>
      </c>
      <c r="O86">
        <v>1.0107999999999999</v>
      </c>
      <c r="Q86">
        <v>0.67979999999999996</v>
      </c>
      <c r="R86">
        <v>76.599999999999994</v>
      </c>
      <c r="S86">
        <v>0.68</v>
      </c>
      <c r="T86">
        <v>0.67869999999999997</v>
      </c>
    </row>
    <row r="87" spans="1:20">
      <c r="I87" t="s">
        <v>676</v>
      </c>
      <c r="J87" s="146" t="s">
        <v>680</v>
      </c>
      <c r="K87" t="s">
        <v>676</v>
      </c>
      <c r="L87" s="146" t="s">
        <v>680</v>
      </c>
      <c r="N87">
        <v>8.5</v>
      </c>
      <c r="O87">
        <v>1.0101</v>
      </c>
      <c r="Q87">
        <v>0.68010000000000004</v>
      </c>
      <c r="R87">
        <v>76.5</v>
      </c>
      <c r="S87">
        <v>0.68030000000000002</v>
      </c>
      <c r="T87">
        <v>0.67900000000000005</v>
      </c>
    </row>
    <row r="88" spans="1:20">
      <c r="I88" t="s">
        <v>677</v>
      </c>
      <c r="J88" s="146" t="s">
        <v>681</v>
      </c>
      <c r="K88" t="s">
        <v>677</v>
      </c>
      <c r="L88" s="146" t="s">
        <v>681</v>
      </c>
      <c r="N88">
        <v>8.6</v>
      </c>
      <c r="O88">
        <v>1.0094000000000001</v>
      </c>
      <c r="Q88">
        <v>0.68049999999999999</v>
      </c>
      <c r="R88">
        <v>76.400000000000006</v>
      </c>
      <c r="S88">
        <v>0.68059999999999998</v>
      </c>
      <c r="T88">
        <v>0.6794</v>
      </c>
    </row>
    <row r="89" spans="1:20">
      <c r="I89" t="s">
        <v>678</v>
      </c>
      <c r="J89" s="146" t="s">
        <v>682</v>
      </c>
      <c r="K89" t="s">
        <v>678</v>
      </c>
      <c r="L89" s="146" t="s">
        <v>682</v>
      </c>
      <c r="N89">
        <v>8.6999999999999993</v>
      </c>
      <c r="O89">
        <v>1.0085999999999999</v>
      </c>
      <c r="Q89">
        <v>0.68079999999999996</v>
      </c>
      <c r="R89">
        <v>76.3</v>
      </c>
      <c r="S89">
        <v>0.68089999999999995</v>
      </c>
      <c r="T89">
        <v>0.67969999999999997</v>
      </c>
    </row>
    <row r="90" spans="1:20">
      <c r="I90" t="s">
        <v>679</v>
      </c>
      <c r="J90" s="146" t="s">
        <v>682</v>
      </c>
      <c r="K90" t="s">
        <v>679</v>
      </c>
      <c r="L90" s="146" t="s">
        <v>682</v>
      </c>
      <c r="N90">
        <v>8.8000000000000007</v>
      </c>
      <c r="O90">
        <v>1.0079</v>
      </c>
      <c r="Q90">
        <v>0.68110000000000004</v>
      </c>
      <c r="R90">
        <v>76.2</v>
      </c>
      <c r="S90">
        <v>0.68130000000000002</v>
      </c>
      <c r="T90">
        <v>0.68</v>
      </c>
    </row>
    <row r="91" spans="1:20">
      <c r="I91" t="s">
        <v>683</v>
      </c>
      <c r="J91" s="146" t="s">
        <v>684</v>
      </c>
      <c r="K91" t="s">
        <v>683</v>
      </c>
      <c r="L91" s="146" t="s">
        <v>684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574</v>
      </c>
      <c r="N101">
        <v>9.9</v>
      </c>
      <c r="O101">
        <v>1.0001</v>
      </c>
      <c r="Q101">
        <v>0.68469999999999998</v>
      </c>
      <c r="R101">
        <v>75.099999999999994</v>
      </c>
      <c r="S101">
        <v>0.68489999999999995</v>
      </c>
      <c r="T101">
        <v>0.68359999999999999</v>
      </c>
    </row>
    <row r="102" spans="1:20">
      <c r="A102" t="s">
        <v>575</v>
      </c>
      <c r="N102">
        <v>10</v>
      </c>
      <c r="O102">
        <v>0.99939999999999996</v>
      </c>
      <c r="Q102">
        <v>0.68510000000000004</v>
      </c>
      <c r="R102">
        <v>75</v>
      </c>
      <c r="S102">
        <v>0.68520000000000003</v>
      </c>
      <c r="T102">
        <v>0.68400000000000005</v>
      </c>
    </row>
    <row r="103" spans="1:20">
      <c r="A103" t="s">
        <v>576</v>
      </c>
      <c r="N103">
        <v>10.1</v>
      </c>
      <c r="O103">
        <v>0.99870000000000003</v>
      </c>
      <c r="Q103">
        <v>0.68540000000000001</v>
      </c>
      <c r="R103">
        <v>74.900000000000006</v>
      </c>
      <c r="S103">
        <v>0.68559999999999999</v>
      </c>
      <c r="T103">
        <v>0.68430000000000002</v>
      </c>
    </row>
    <row r="104" spans="1:20">
      <c r="A104" t="s">
        <v>577</v>
      </c>
      <c r="N104">
        <v>10.199999999999999</v>
      </c>
      <c r="O104">
        <v>0.998</v>
      </c>
      <c r="Q104">
        <v>0.68569999999999998</v>
      </c>
      <c r="R104">
        <v>74.8</v>
      </c>
      <c r="S104">
        <v>0.68589999999999995</v>
      </c>
      <c r="T104">
        <v>0.68459999999999999</v>
      </c>
    </row>
    <row r="105" spans="1:20">
      <c r="A105" t="s">
        <v>578</v>
      </c>
      <c r="N105">
        <v>10.3</v>
      </c>
      <c r="O105">
        <v>0.99729999999999996</v>
      </c>
      <c r="Q105">
        <v>0.68610000000000004</v>
      </c>
      <c r="R105">
        <v>74.7</v>
      </c>
      <c r="S105">
        <v>0.68620000000000003</v>
      </c>
      <c r="T105">
        <v>0.68500000000000005</v>
      </c>
    </row>
    <row r="106" spans="1:20">
      <c r="A106" t="s">
        <v>579</v>
      </c>
      <c r="N106">
        <v>10.4</v>
      </c>
      <c r="O106">
        <v>0.99660000000000004</v>
      </c>
      <c r="Q106">
        <v>0.68640000000000001</v>
      </c>
      <c r="R106">
        <v>74.599999999999994</v>
      </c>
      <c r="S106">
        <v>0.68659999999999999</v>
      </c>
      <c r="T106">
        <v>0.68530000000000002</v>
      </c>
    </row>
    <row r="107" spans="1:20">
      <c r="A107" t="s">
        <v>580</v>
      </c>
      <c r="I107" s="152" t="s">
        <v>402</v>
      </c>
      <c r="J107" s="152" t="s">
        <v>391</v>
      </c>
      <c r="N107">
        <v>10.5</v>
      </c>
      <c r="O107">
        <v>0.99590000000000001</v>
      </c>
      <c r="Q107">
        <v>0.68669999999999998</v>
      </c>
      <c r="R107">
        <v>74.5</v>
      </c>
      <c r="S107">
        <v>0.68689999999999996</v>
      </c>
      <c r="T107">
        <v>0.68559999999999999</v>
      </c>
    </row>
    <row r="108" spans="1:20">
      <c r="A108" t="s">
        <v>581</v>
      </c>
      <c r="I108" s="152" t="s">
        <v>403</v>
      </c>
      <c r="J108" s="152" t="s">
        <v>392</v>
      </c>
      <c r="N108">
        <v>10.6</v>
      </c>
      <c r="O108">
        <v>0.99519999999999997</v>
      </c>
      <c r="Q108">
        <v>0.68710000000000004</v>
      </c>
      <c r="R108">
        <v>74.400000000000006</v>
      </c>
      <c r="S108">
        <v>0.68720000000000003</v>
      </c>
      <c r="T108">
        <v>0.68600000000000005</v>
      </c>
    </row>
    <row r="109" spans="1:20">
      <c r="A109" t="s">
        <v>582</v>
      </c>
      <c r="I109" s="152" t="s">
        <v>404</v>
      </c>
      <c r="J109" t="s">
        <v>393</v>
      </c>
      <c r="N109">
        <v>10.7</v>
      </c>
      <c r="O109">
        <v>0.99450000000000005</v>
      </c>
      <c r="Q109">
        <v>0.68740000000000001</v>
      </c>
      <c r="R109">
        <v>74.3</v>
      </c>
      <c r="S109">
        <v>0.68759999999999999</v>
      </c>
      <c r="T109">
        <v>0.68630000000000002</v>
      </c>
    </row>
    <row r="110" spans="1:20">
      <c r="A110" t="s">
        <v>583</v>
      </c>
      <c r="I110" s="152" t="s">
        <v>405</v>
      </c>
      <c r="J110" s="155">
        <f>IF(LEFT('Navarik 설정'!C16,5)="SET 1",1,2)</f>
        <v>2</v>
      </c>
      <c r="N110">
        <v>10.8</v>
      </c>
      <c r="O110">
        <v>0.99380000000000002</v>
      </c>
      <c r="Q110">
        <v>0.68769999999999998</v>
      </c>
      <c r="R110">
        <v>74.2</v>
      </c>
      <c r="S110">
        <v>0.68789999999999996</v>
      </c>
      <c r="T110">
        <v>0.68659999999999999</v>
      </c>
    </row>
    <row r="111" spans="1:20">
      <c r="A111" t="s">
        <v>584</v>
      </c>
      <c r="I111" s="152" t="s">
        <v>406</v>
      </c>
      <c r="N111">
        <v>10.9</v>
      </c>
      <c r="O111">
        <v>0.99309999999999998</v>
      </c>
      <c r="Q111">
        <v>0.68810000000000004</v>
      </c>
      <c r="R111">
        <v>74.099999999999994</v>
      </c>
      <c r="S111">
        <v>0.68820000000000003</v>
      </c>
      <c r="T111">
        <v>0.68700000000000006</v>
      </c>
    </row>
    <row r="112" spans="1:20">
      <c r="A112" t="s">
        <v>585</v>
      </c>
      <c r="I112" s="152" t="s">
        <v>407</v>
      </c>
      <c r="J112" t="s">
        <v>394</v>
      </c>
      <c r="N112">
        <v>11</v>
      </c>
      <c r="O112">
        <v>0.99239999999999995</v>
      </c>
      <c r="Q112">
        <v>0.68840000000000001</v>
      </c>
      <c r="R112">
        <v>74</v>
      </c>
      <c r="S112">
        <v>0.68859999999999999</v>
      </c>
      <c r="T112">
        <v>0.68730000000000002</v>
      </c>
    </row>
    <row r="113" spans="1:20">
      <c r="A113" t="s">
        <v>586</v>
      </c>
      <c r="I113" s="152" t="s">
        <v>408</v>
      </c>
      <c r="J113" t="s">
        <v>396</v>
      </c>
      <c r="N113">
        <v>11.1</v>
      </c>
      <c r="O113">
        <v>0.99170000000000003</v>
      </c>
      <c r="Q113">
        <v>0.68869999999999998</v>
      </c>
      <c r="R113">
        <v>73.900000000000006</v>
      </c>
      <c r="S113">
        <v>0.68889999999999996</v>
      </c>
      <c r="T113">
        <v>0.68759999999999999</v>
      </c>
    </row>
    <row r="114" spans="1:20">
      <c r="A114" t="s">
        <v>587</v>
      </c>
      <c r="I114" s="152" t="s">
        <v>409</v>
      </c>
      <c r="J114" t="s">
        <v>395</v>
      </c>
      <c r="N114">
        <v>11.2</v>
      </c>
      <c r="O114">
        <v>0.99099999999999999</v>
      </c>
      <c r="Q114">
        <v>0.68910000000000005</v>
      </c>
      <c r="R114">
        <v>73.8</v>
      </c>
      <c r="S114">
        <v>0.68920000000000003</v>
      </c>
      <c r="T114">
        <v>0.68799999999999994</v>
      </c>
    </row>
    <row r="115" spans="1:20">
      <c r="A115" t="s">
        <v>588</v>
      </c>
      <c r="I115" s="152" t="s">
        <v>410</v>
      </c>
      <c r="J115" s="152" t="s">
        <v>342</v>
      </c>
      <c r="N115">
        <v>11.3</v>
      </c>
      <c r="O115">
        <v>0.99029999999999996</v>
      </c>
      <c r="Q115">
        <v>0.68940000000000001</v>
      </c>
      <c r="R115">
        <v>73.7</v>
      </c>
      <c r="S115">
        <v>0.68959999999999999</v>
      </c>
      <c r="T115">
        <v>0.68830000000000002</v>
      </c>
    </row>
    <row r="116" spans="1:20">
      <c r="A116" t="s">
        <v>589</v>
      </c>
      <c r="I116" s="152" t="s">
        <v>411</v>
      </c>
      <c r="J116" s="152" t="s">
        <v>343</v>
      </c>
      <c r="N116">
        <v>11.4</v>
      </c>
      <c r="O116">
        <v>0.98960000000000004</v>
      </c>
      <c r="Q116">
        <v>0.68969999999999998</v>
      </c>
      <c r="R116">
        <v>73.599999999999994</v>
      </c>
      <c r="S116">
        <v>0.68989999999999996</v>
      </c>
      <c r="T116">
        <v>0.68859999999999999</v>
      </c>
    </row>
    <row r="117" spans="1:20">
      <c r="A117" t="s">
        <v>590</v>
      </c>
      <c r="J117" s="152" t="s">
        <v>344</v>
      </c>
      <c r="N117">
        <v>11.5</v>
      </c>
      <c r="O117">
        <v>0.9889</v>
      </c>
      <c r="Q117">
        <v>0.69010000000000005</v>
      </c>
      <c r="R117">
        <v>73.5</v>
      </c>
      <c r="S117">
        <v>0.69020000000000004</v>
      </c>
      <c r="T117">
        <v>0.68899999999999995</v>
      </c>
    </row>
    <row r="118" spans="1:20">
      <c r="A118" t="s">
        <v>591</v>
      </c>
      <c r="I118" s="152" t="s">
        <v>402</v>
      </c>
      <c r="J118" s="152" t="s">
        <v>345</v>
      </c>
      <c r="N118">
        <v>11.6</v>
      </c>
      <c r="O118">
        <v>0.98819999999999997</v>
      </c>
      <c r="Q118">
        <v>0.69040000000000001</v>
      </c>
      <c r="R118">
        <v>73.400000000000006</v>
      </c>
      <c r="S118">
        <v>0.69059999999999999</v>
      </c>
      <c r="T118">
        <v>0.68930000000000002</v>
      </c>
    </row>
    <row r="119" spans="1:20">
      <c r="A119" t="s">
        <v>592</v>
      </c>
      <c r="I119" s="152" t="s">
        <v>403</v>
      </c>
      <c r="J119" s="152" t="s">
        <v>346</v>
      </c>
      <c r="N119">
        <v>11.7</v>
      </c>
      <c r="O119">
        <v>0.98750000000000004</v>
      </c>
      <c r="Q119">
        <v>0.69079999999999997</v>
      </c>
      <c r="R119">
        <v>73.3</v>
      </c>
      <c r="S119">
        <v>0.69089999999999996</v>
      </c>
      <c r="T119">
        <v>0.68969999999999998</v>
      </c>
    </row>
    <row r="120" spans="1:20">
      <c r="A120" t="s">
        <v>593</v>
      </c>
      <c r="I120" s="152" t="s">
        <v>404</v>
      </c>
      <c r="J120" s="152" t="s">
        <v>347</v>
      </c>
      <c r="N120">
        <v>11.8</v>
      </c>
      <c r="O120">
        <v>0.98680000000000001</v>
      </c>
      <c r="Q120">
        <v>0.69110000000000005</v>
      </c>
      <c r="R120">
        <v>73.2</v>
      </c>
      <c r="S120">
        <v>0.69130000000000003</v>
      </c>
      <c r="T120">
        <v>0.69</v>
      </c>
    </row>
    <row r="121" spans="1:20">
      <c r="A121" t="s">
        <v>594</v>
      </c>
      <c r="I121" s="152" t="s">
        <v>405</v>
      </c>
      <c r="J121" s="152" t="s">
        <v>348</v>
      </c>
      <c r="N121">
        <v>11.9</v>
      </c>
      <c r="O121">
        <v>0.98619999999999997</v>
      </c>
      <c r="Q121">
        <v>0.69140000000000001</v>
      </c>
      <c r="R121">
        <v>73.099999999999994</v>
      </c>
      <c r="S121">
        <v>0.69159999999999999</v>
      </c>
      <c r="T121">
        <v>0.69030000000000002</v>
      </c>
    </row>
    <row r="122" spans="1:20">
      <c r="A122" t="s">
        <v>595</v>
      </c>
      <c r="I122" s="152" t="s">
        <v>406</v>
      </c>
      <c r="J122" s="152" t="s">
        <v>349</v>
      </c>
      <c r="N122">
        <v>12</v>
      </c>
      <c r="O122">
        <v>0.98550000000000004</v>
      </c>
      <c r="Q122">
        <v>0.69179999999999997</v>
      </c>
      <c r="R122">
        <v>73</v>
      </c>
      <c r="S122">
        <v>0.69189999999999996</v>
      </c>
      <c r="T122">
        <v>0.69069999999999998</v>
      </c>
    </row>
    <row r="123" spans="1:20">
      <c r="A123" t="s">
        <v>596</v>
      </c>
      <c r="I123" s="152" t="s">
        <v>407</v>
      </c>
      <c r="J123" s="152" t="s">
        <v>350</v>
      </c>
      <c r="N123">
        <v>12.1</v>
      </c>
      <c r="O123">
        <v>0.98480000000000001</v>
      </c>
      <c r="Q123">
        <v>0.69210000000000005</v>
      </c>
      <c r="R123">
        <v>72.900000000000006</v>
      </c>
      <c r="S123">
        <v>0.69230000000000003</v>
      </c>
      <c r="T123">
        <v>0.69099999999999995</v>
      </c>
    </row>
    <row r="124" spans="1:20">
      <c r="A124" t="s">
        <v>597</v>
      </c>
      <c r="I124" s="152" t="s">
        <v>408</v>
      </c>
      <c r="J124" s="152" t="s">
        <v>351</v>
      </c>
      <c r="N124">
        <v>12.2</v>
      </c>
      <c r="O124">
        <v>0.98409999999999997</v>
      </c>
      <c r="Q124">
        <v>0.69240000000000002</v>
      </c>
      <c r="R124">
        <v>72.8</v>
      </c>
      <c r="S124">
        <v>0.69259999999999999</v>
      </c>
      <c r="T124">
        <v>0.69130000000000003</v>
      </c>
    </row>
    <row r="125" spans="1:20">
      <c r="A125" t="s">
        <v>598</v>
      </c>
      <c r="I125" s="152" t="s">
        <v>409</v>
      </c>
      <c r="J125" s="152" t="s">
        <v>352</v>
      </c>
      <c r="N125">
        <v>12.3</v>
      </c>
      <c r="O125">
        <v>0.98340000000000005</v>
      </c>
      <c r="Q125">
        <v>0.69279999999999997</v>
      </c>
      <c r="R125">
        <v>72.7</v>
      </c>
      <c r="S125">
        <v>0.69289999999999996</v>
      </c>
      <c r="T125">
        <v>0.69169999999999998</v>
      </c>
    </row>
    <row r="126" spans="1:20">
      <c r="A126" t="s">
        <v>599</v>
      </c>
      <c r="I126" s="152" t="s">
        <v>410</v>
      </c>
      <c r="J126" s="152" t="s">
        <v>353</v>
      </c>
      <c r="N126">
        <v>12.4</v>
      </c>
      <c r="O126">
        <v>0.98270000000000002</v>
      </c>
      <c r="Q126">
        <v>0.69310000000000005</v>
      </c>
      <c r="R126">
        <v>72.599999999999994</v>
      </c>
      <c r="S126">
        <v>0.69330000000000003</v>
      </c>
      <c r="T126">
        <v>0.69199999999999995</v>
      </c>
    </row>
    <row r="127" spans="1:20">
      <c r="A127" t="s">
        <v>600</v>
      </c>
      <c r="I127" s="152" t="s">
        <v>411</v>
      </c>
      <c r="J127" s="152" t="s">
        <v>354</v>
      </c>
      <c r="N127">
        <v>12.5</v>
      </c>
      <c r="O127">
        <v>0.98199999999999998</v>
      </c>
      <c r="Q127">
        <v>0.69350000000000001</v>
      </c>
      <c r="R127">
        <v>72.5</v>
      </c>
      <c r="S127">
        <v>0.69359999999999999</v>
      </c>
      <c r="T127">
        <v>0.69240000000000002</v>
      </c>
    </row>
    <row r="128" spans="1:20">
      <c r="A128" t="s">
        <v>601</v>
      </c>
      <c r="J128" s="152" t="s">
        <v>355</v>
      </c>
      <c r="N128">
        <v>12.6</v>
      </c>
      <c r="O128">
        <v>0.98140000000000005</v>
      </c>
      <c r="Q128">
        <v>0.69379999999999997</v>
      </c>
      <c r="R128">
        <v>72.400000000000006</v>
      </c>
      <c r="S128">
        <v>0.69399999999999995</v>
      </c>
      <c r="T128">
        <v>0.69269999999999998</v>
      </c>
    </row>
    <row r="129" spans="1:20">
      <c r="A129" t="s">
        <v>602</v>
      </c>
      <c r="J129" s="152" t="s">
        <v>356</v>
      </c>
      <c r="N129">
        <v>12.7</v>
      </c>
      <c r="O129">
        <v>0.98070000000000002</v>
      </c>
      <c r="Q129">
        <v>0.69410000000000005</v>
      </c>
      <c r="R129">
        <v>72.3</v>
      </c>
      <c r="S129">
        <v>0.69430000000000003</v>
      </c>
      <c r="T129">
        <v>0.69299999999999995</v>
      </c>
    </row>
    <row r="130" spans="1:20">
      <c r="A130" t="s">
        <v>603</v>
      </c>
      <c r="J130" s="152" t="s">
        <v>357</v>
      </c>
      <c r="N130">
        <v>12.8</v>
      </c>
      <c r="O130">
        <v>0.98</v>
      </c>
      <c r="Q130">
        <v>0.69450000000000001</v>
      </c>
      <c r="R130">
        <v>72.2</v>
      </c>
      <c r="S130">
        <v>0.6946</v>
      </c>
      <c r="T130">
        <v>0.69340000000000002</v>
      </c>
    </row>
    <row r="131" spans="1:20">
      <c r="A131" t="s">
        <v>604</v>
      </c>
      <c r="J131" s="152" t="s">
        <v>358</v>
      </c>
      <c r="N131">
        <v>12.9</v>
      </c>
      <c r="O131">
        <v>0.97929999999999995</v>
      </c>
      <c r="Q131">
        <v>0.69479999999999997</v>
      </c>
      <c r="R131">
        <v>72.099999999999994</v>
      </c>
      <c r="S131">
        <v>0.69499999999999995</v>
      </c>
      <c r="T131">
        <v>0.69369999999999998</v>
      </c>
    </row>
    <row r="132" spans="1:20">
      <c r="A132" t="s">
        <v>605</v>
      </c>
      <c r="N132">
        <v>13</v>
      </c>
      <c r="O132">
        <v>0.97860000000000003</v>
      </c>
      <c r="Q132">
        <v>0.69520000000000004</v>
      </c>
      <c r="R132">
        <v>72</v>
      </c>
      <c r="S132">
        <v>0.69530000000000003</v>
      </c>
      <c r="T132">
        <v>0.69410000000000005</v>
      </c>
    </row>
    <row r="133" spans="1:20">
      <c r="A133" t="s">
        <v>606</v>
      </c>
      <c r="N133">
        <v>13.1</v>
      </c>
      <c r="O133">
        <v>0.97799999999999998</v>
      </c>
      <c r="Q133">
        <v>0.69550000000000001</v>
      </c>
      <c r="R133">
        <v>71.900000000000006</v>
      </c>
      <c r="S133">
        <v>0.69569999999999999</v>
      </c>
      <c r="T133">
        <v>0.69440000000000002</v>
      </c>
    </row>
    <row r="134" spans="1:20">
      <c r="A134" t="s">
        <v>607</v>
      </c>
      <c r="N134">
        <v>13.2</v>
      </c>
      <c r="O134">
        <v>0.97729999999999995</v>
      </c>
      <c r="Q134">
        <v>0.69579999999999997</v>
      </c>
      <c r="R134">
        <v>71.8</v>
      </c>
      <c r="S134">
        <v>0.69599999999999995</v>
      </c>
      <c r="T134">
        <v>0.69469999999999998</v>
      </c>
    </row>
    <row r="135" spans="1:20">
      <c r="A135" t="s">
        <v>608</v>
      </c>
      <c r="N135">
        <v>13.3</v>
      </c>
      <c r="O135">
        <v>0.97660000000000002</v>
      </c>
      <c r="Q135">
        <v>0.69620000000000004</v>
      </c>
      <c r="R135">
        <v>71.7</v>
      </c>
      <c r="S135">
        <v>0.69640000000000002</v>
      </c>
      <c r="T135">
        <v>0.69510000000000005</v>
      </c>
    </row>
    <row r="136" spans="1:20">
      <c r="A136" t="s">
        <v>609</v>
      </c>
      <c r="N136">
        <v>13.4</v>
      </c>
      <c r="O136">
        <v>0.97589999999999999</v>
      </c>
      <c r="Q136">
        <v>0.69650000000000001</v>
      </c>
      <c r="R136">
        <v>71.599999999999994</v>
      </c>
      <c r="S136">
        <v>0.69669999999999999</v>
      </c>
      <c r="T136">
        <v>0.69540000000000002</v>
      </c>
    </row>
    <row r="137" spans="1:20">
      <c r="A137" t="s">
        <v>610</v>
      </c>
      <c r="N137">
        <v>13.5</v>
      </c>
      <c r="O137">
        <v>0.97529999999999994</v>
      </c>
      <c r="Q137">
        <v>0.69689999999999996</v>
      </c>
      <c r="R137">
        <v>71.5</v>
      </c>
      <c r="S137">
        <v>0.69699999999999995</v>
      </c>
      <c r="T137">
        <v>0.69579999999999997</v>
      </c>
    </row>
    <row r="138" spans="1:20">
      <c r="A138" t="s">
        <v>611</v>
      </c>
      <c r="N138">
        <v>13.6</v>
      </c>
      <c r="O138">
        <v>0.97460000000000002</v>
      </c>
      <c r="Q138">
        <v>0.69720000000000004</v>
      </c>
      <c r="R138">
        <v>71.400000000000006</v>
      </c>
      <c r="S138">
        <v>0.69740000000000002</v>
      </c>
      <c r="T138">
        <v>0.69610000000000005</v>
      </c>
    </row>
    <row r="139" spans="1:20">
      <c r="A139" t="s">
        <v>612</v>
      </c>
      <c r="N139">
        <v>13.7</v>
      </c>
      <c r="O139">
        <v>0.97389999999999999</v>
      </c>
      <c r="Q139">
        <v>0.6976</v>
      </c>
      <c r="R139">
        <v>71.3</v>
      </c>
      <c r="S139">
        <v>0.69769999999999999</v>
      </c>
      <c r="T139">
        <v>0.69650000000000001</v>
      </c>
    </row>
    <row r="140" spans="1:20">
      <c r="A140" t="s">
        <v>613</v>
      </c>
      <c r="N140">
        <v>13.8</v>
      </c>
      <c r="O140">
        <v>0.97330000000000005</v>
      </c>
      <c r="Q140">
        <v>0.69789999999999996</v>
      </c>
      <c r="R140">
        <v>71.2</v>
      </c>
      <c r="S140">
        <v>0.69810000000000005</v>
      </c>
      <c r="T140">
        <v>0.69679999999999997</v>
      </c>
    </row>
    <row r="141" spans="1:20">
      <c r="A141" t="s">
        <v>614</v>
      </c>
      <c r="N141">
        <v>13.9</v>
      </c>
      <c r="O141">
        <v>0.97260000000000002</v>
      </c>
      <c r="Q141">
        <v>0.69820000000000004</v>
      </c>
      <c r="R141">
        <v>71.099999999999994</v>
      </c>
      <c r="S141">
        <v>0.69840000000000002</v>
      </c>
      <c r="T141">
        <v>0.69710000000000005</v>
      </c>
    </row>
    <row r="142" spans="1:20">
      <c r="A142" t="s">
        <v>615</v>
      </c>
      <c r="N142">
        <v>14</v>
      </c>
      <c r="O142">
        <v>0.97189999999999999</v>
      </c>
      <c r="Q142">
        <v>0.6986</v>
      </c>
      <c r="R142">
        <v>71</v>
      </c>
      <c r="S142">
        <v>0.69879999999999998</v>
      </c>
      <c r="T142">
        <v>0.69750000000000001</v>
      </c>
    </row>
    <row r="143" spans="1:20">
      <c r="A143" t="s">
        <v>616</v>
      </c>
      <c r="J143" t="s">
        <v>360</v>
      </c>
      <c r="K143" s="146" t="s">
        <v>365</v>
      </c>
      <c r="L143" t="s">
        <v>369</v>
      </c>
      <c r="M143" t="s">
        <v>376</v>
      </c>
      <c r="N143">
        <v>14.1</v>
      </c>
      <c r="O143">
        <v>0.97130000000000005</v>
      </c>
      <c r="Q143">
        <v>0.69889999999999997</v>
      </c>
      <c r="R143">
        <v>70.900000000000006</v>
      </c>
      <c r="S143">
        <v>0.69910000000000005</v>
      </c>
      <c r="T143">
        <v>0.69779999999999998</v>
      </c>
    </row>
    <row r="144" spans="1:20">
      <c r="A144" t="s">
        <v>617</v>
      </c>
      <c r="J144" t="s">
        <v>361</v>
      </c>
      <c r="K144" s="146" t="s">
        <v>366</v>
      </c>
      <c r="L144" t="s">
        <v>370</v>
      </c>
      <c r="M144" t="s">
        <v>377</v>
      </c>
      <c r="N144">
        <v>14.2</v>
      </c>
      <c r="O144">
        <v>0.97060000000000002</v>
      </c>
      <c r="Q144">
        <v>0.69930000000000003</v>
      </c>
      <c r="R144">
        <v>70.8</v>
      </c>
      <c r="S144">
        <v>0.69950000000000001</v>
      </c>
      <c r="T144">
        <v>0.69820000000000004</v>
      </c>
    </row>
    <row r="145" spans="1:20">
      <c r="A145" t="s">
        <v>618</v>
      </c>
      <c r="J145" t="s">
        <v>362</v>
      </c>
      <c r="K145" s="146" t="s">
        <v>368</v>
      </c>
      <c r="L145" t="s">
        <v>371</v>
      </c>
      <c r="M145" t="s">
        <v>378</v>
      </c>
      <c r="N145">
        <v>14.3</v>
      </c>
      <c r="O145">
        <v>0.96989999999999998</v>
      </c>
      <c r="Q145">
        <v>0.6996</v>
      </c>
      <c r="R145">
        <v>70.7</v>
      </c>
      <c r="S145">
        <v>0.69979999999999998</v>
      </c>
      <c r="T145">
        <v>0.69850000000000001</v>
      </c>
    </row>
    <row r="146" spans="1:20">
      <c r="A146" t="s">
        <v>619</v>
      </c>
      <c r="J146" t="s">
        <v>363</v>
      </c>
      <c r="K146" s="146" t="s">
        <v>368</v>
      </c>
      <c r="L146" t="s">
        <v>372</v>
      </c>
      <c r="M146" t="s">
        <v>379</v>
      </c>
      <c r="N146">
        <v>14.4</v>
      </c>
      <c r="O146">
        <v>0.96930000000000005</v>
      </c>
      <c r="Q146">
        <v>0.7</v>
      </c>
      <c r="R146">
        <v>70.599999999999994</v>
      </c>
      <c r="S146">
        <v>0.70009999999999994</v>
      </c>
      <c r="T146">
        <v>0.69889999999999997</v>
      </c>
    </row>
    <row r="147" spans="1:20">
      <c r="A147" t="s">
        <v>620</v>
      </c>
      <c r="J147" t="s">
        <v>364</v>
      </c>
      <c r="K147" s="146" t="s">
        <v>367</v>
      </c>
      <c r="L147" t="s">
        <v>373</v>
      </c>
      <c r="M147" t="s">
        <v>380</v>
      </c>
      <c r="N147">
        <v>14.5</v>
      </c>
      <c r="O147">
        <v>0.96860000000000002</v>
      </c>
      <c r="Q147">
        <v>0.70030000000000003</v>
      </c>
      <c r="R147">
        <v>70.5</v>
      </c>
      <c r="S147">
        <v>0.70050000000000001</v>
      </c>
      <c r="T147">
        <v>0.69920000000000004</v>
      </c>
    </row>
    <row r="148" spans="1:20">
      <c r="A148" t="s">
        <v>621</v>
      </c>
      <c r="J148" t="s">
        <v>250</v>
      </c>
      <c r="K148" s="146" t="s">
        <v>251</v>
      </c>
      <c r="L148" t="s">
        <v>374</v>
      </c>
      <c r="M148" t="s">
        <v>381</v>
      </c>
      <c r="N148">
        <v>14.6</v>
      </c>
      <c r="O148">
        <v>0.96789999999999998</v>
      </c>
      <c r="Q148">
        <v>0.70069999999999999</v>
      </c>
      <c r="R148">
        <v>70.400000000000006</v>
      </c>
      <c r="S148">
        <v>0.70079999999999998</v>
      </c>
      <c r="T148">
        <v>0.6996</v>
      </c>
    </row>
    <row r="149" spans="1:20">
      <c r="A149" t="s">
        <v>622</v>
      </c>
      <c r="N149">
        <v>14.7</v>
      </c>
      <c r="O149">
        <v>0.96730000000000005</v>
      </c>
      <c r="Q149">
        <v>0.70099999999999996</v>
      </c>
      <c r="R149">
        <v>70.3</v>
      </c>
      <c r="S149">
        <v>0.70120000000000005</v>
      </c>
      <c r="T149">
        <v>0.69989999999999997</v>
      </c>
    </row>
    <row r="150" spans="1:20">
      <c r="A150" t="s">
        <v>623</v>
      </c>
      <c r="N150">
        <v>14.8</v>
      </c>
      <c r="O150">
        <v>0.96660000000000001</v>
      </c>
      <c r="Q150">
        <v>0.70140000000000002</v>
      </c>
      <c r="R150">
        <v>70.2</v>
      </c>
      <c r="S150">
        <v>0.70150000000000001</v>
      </c>
      <c r="T150">
        <v>0.70030000000000003</v>
      </c>
    </row>
    <row r="151" spans="1:20">
      <c r="A151" t="s">
        <v>624</v>
      </c>
      <c r="N151">
        <v>14.9</v>
      </c>
      <c r="O151">
        <v>0.96599999999999997</v>
      </c>
      <c r="Q151">
        <v>0.70169999999999999</v>
      </c>
      <c r="R151">
        <v>70.099999999999994</v>
      </c>
      <c r="S151">
        <v>0.70189999999999997</v>
      </c>
      <c r="T151">
        <v>0.7006</v>
      </c>
    </row>
    <row r="152" spans="1:20">
      <c r="A152" t="s">
        <v>625</v>
      </c>
      <c r="N152">
        <v>15</v>
      </c>
      <c r="O152">
        <v>0.96530000000000005</v>
      </c>
      <c r="Q152">
        <v>0.70209999999999995</v>
      </c>
      <c r="R152">
        <v>70</v>
      </c>
      <c r="S152">
        <v>0.70220000000000005</v>
      </c>
      <c r="T152">
        <v>0.70099999999999996</v>
      </c>
    </row>
    <row r="153" spans="1:20">
      <c r="A153" t="s">
        <v>626</v>
      </c>
      <c r="N153">
        <v>15.1</v>
      </c>
      <c r="O153">
        <v>0.96460000000000001</v>
      </c>
      <c r="Q153">
        <v>0.70240000000000002</v>
      </c>
      <c r="R153">
        <v>69.900000000000006</v>
      </c>
      <c r="S153">
        <v>0.7026</v>
      </c>
      <c r="T153">
        <v>0.70130000000000003</v>
      </c>
    </row>
    <row r="154" spans="1:20">
      <c r="A154" t="s">
        <v>627</v>
      </c>
      <c r="J154" t="s">
        <v>651</v>
      </c>
      <c r="N154">
        <v>15.2</v>
      </c>
      <c r="O154">
        <v>0.96399999999999997</v>
      </c>
      <c r="Q154">
        <v>0.70279999999999998</v>
      </c>
      <c r="R154">
        <v>69.8</v>
      </c>
      <c r="S154">
        <v>0.70289999999999997</v>
      </c>
      <c r="T154">
        <v>0.70169999999999999</v>
      </c>
    </row>
    <row r="155" spans="1:20">
      <c r="A155" t="s">
        <v>628</v>
      </c>
      <c r="J155" t="s">
        <v>657</v>
      </c>
      <c r="N155">
        <v>15.3</v>
      </c>
      <c r="O155">
        <v>0.96330000000000005</v>
      </c>
      <c r="Q155">
        <v>0.70309999999999995</v>
      </c>
      <c r="R155">
        <v>69.7</v>
      </c>
      <c r="S155">
        <v>0.70330000000000004</v>
      </c>
      <c r="T155">
        <v>0.70199999999999996</v>
      </c>
    </row>
    <row r="156" spans="1:20">
      <c r="A156" t="s">
        <v>629</v>
      </c>
      <c r="J156" t="s">
        <v>643</v>
      </c>
      <c r="N156">
        <v>15.4</v>
      </c>
      <c r="O156">
        <v>0.9627</v>
      </c>
      <c r="Q156">
        <v>0.70350000000000001</v>
      </c>
      <c r="R156">
        <v>69.599999999999994</v>
      </c>
      <c r="S156">
        <v>0.7036</v>
      </c>
      <c r="T156">
        <v>0.70240000000000002</v>
      </c>
    </row>
    <row r="157" spans="1:20">
      <c r="A157" t="s">
        <v>630</v>
      </c>
      <c r="J157" t="s">
        <v>644</v>
      </c>
      <c r="N157">
        <v>15.5</v>
      </c>
      <c r="O157">
        <v>0.96199999999999997</v>
      </c>
      <c r="Q157">
        <v>0.70379999999999998</v>
      </c>
      <c r="R157">
        <v>69.5</v>
      </c>
      <c r="S157">
        <v>0.70399999999999996</v>
      </c>
      <c r="T157">
        <v>0.70269999999999999</v>
      </c>
    </row>
    <row r="158" spans="1:20">
      <c r="A158" t="s">
        <v>631</v>
      </c>
      <c r="J158" t="s">
        <v>645</v>
      </c>
      <c r="N158">
        <v>15.6</v>
      </c>
      <c r="O158">
        <v>0.96140000000000003</v>
      </c>
      <c r="Q158">
        <v>0.70420000000000005</v>
      </c>
      <c r="R158">
        <v>69.400000000000006</v>
      </c>
      <c r="S158">
        <v>0.70430000000000004</v>
      </c>
      <c r="T158">
        <v>0.70309999999999995</v>
      </c>
    </row>
    <row r="159" spans="1:20">
      <c r="A159" t="s">
        <v>412</v>
      </c>
      <c r="J159" t="s">
        <v>646</v>
      </c>
      <c r="N159">
        <v>15.7</v>
      </c>
      <c r="O159">
        <v>0.9607</v>
      </c>
      <c r="Q159">
        <v>0.70450000000000002</v>
      </c>
      <c r="R159">
        <v>69.3</v>
      </c>
      <c r="S159">
        <v>0.70469999999999999</v>
      </c>
      <c r="T159">
        <v>0.70340000000000003</v>
      </c>
    </row>
    <row r="160" spans="1:20">
      <c r="A160" t="s">
        <v>413</v>
      </c>
      <c r="J160" t="s">
        <v>647</v>
      </c>
      <c r="N160">
        <v>15.8</v>
      </c>
      <c r="O160">
        <v>0.96009999999999995</v>
      </c>
      <c r="Q160">
        <v>0.70489999999999997</v>
      </c>
      <c r="R160">
        <v>69.2</v>
      </c>
      <c r="S160">
        <v>0.70499999999999996</v>
      </c>
      <c r="T160">
        <v>0.70379999999999998</v>
      </c>
    </row>
    <row r="161" spans="1:20">
      <c r="A161" t="s">
        <v>414</v>
      </c>
      <c r="J161" t="s">
        <v>648</v>
      </c>
      <c r="N161">
        <v>15.9</v>
      </c>
      <c r="O161">
        <v>0.95940000000000003</v>
      </c>
      <c r="Q161">
        <v>0.70520000000000005</v>
      </c>
      <c r="R161">
        <v>69.099999999999994</v>
      </c>
      <c r="S161">
        <v>0.70540000000000003</v>
      </c>
      <c r="T161">
        <v>0.70409999999999995</v>
      </c>
    </row>
    <row r="162" spans="1:20">
      <c r="A162" t="s">
        <v>415</v>
      </c>
      <c r="J162" t="s">
        <v>649</v>
      </c>
      <c r="N162">
        <v>16</v>
      </c>
      <c r="O162">
        <v>0.95879999999999999</v>
      </c>
      <c r="Q162">
        <v>0.7056</v>
      </c>
      <c r="R162">
        <v>69</v>
      </c>
      <c r="S162">
        <v>0.70569999999999999</v>
      </c>
      <c r="T162">
        <v>0.70450000000000002</v>
      </c>
    </row>
    <row r="163" spans="1:20">
      <c r="A163" t="s">
        <v>416</v>
      </c>
      <c r="J163" t="s">
        <v>650</v>
      </c>
      <c r="N163">
        <v>16.100000000000001</v>
      </c>
      <c r="O163">
        <v>0.95809999999999995</v>
      </c>
      <c r="Q163">
        <v>0.70589999999999997</v>
      </c>
      <c r="R163">
        <v>68.900000000000006</v>
      </c>
      <c r="S163">
        <v>0.70609999999999995</v>
      </c>
      <c r="T163">
        <v>0.70479999999999998</v>
      </c>
    </row>
    <row r="164" spans="1:20">
      <c r="A164" t="s">
        <v>417</v>
      </c>
      <c r="J164" t="s">
        <v>652</v>
      </c>
      <c r="N164">
        <v>16.2</v>
      </c>
      <c r="O164">
        <v>0.95750000000000002</v>
      </c>
      <c r="Q164">
        <v>0.70630000000000004</v>
      </c>
      <c r="R164">
        <v>68.8</v>
      </c>
      <c r="S164">
        <v>0.70640000000000003</v>
      </c>
      <c r="T164">
        <v>0.70520000000000005</v>
      </c>
    </row>
    <row r="165" spans="1:20">
      <c r="A165" t="s">
        <v>418</v>
      </c>
      <c r="J165" t="s">
        <v>653</v>
      </c>
      <c r="N165">
        <v>16.3</v>
      </c>
      <c r="O165">
        <v>0.95679999999999998</v>
      </c>
      <c r="Q165">
        <v>0.70660000000000001</v>
      </c>
      <c r="R165">
        <v>68.7</v>
      </c>
      <c r="S165">
        <v>0.70679999999999998</v>
      </c>
      <c r="T165">
        <v>0.70550000000000002</v>
      </c>
    </row>
    <row r="166" spans="1:20">
      <c r="A166" t="s">
        <v>419</v>
      </c>
      <c r="J166" t="s">
        <v>654</v>
      </c>
      <c r="N166">
        <v>16.399999999999999</v>
      </c>
      <c r="O166">
        <v>0.95620000000000005</v>
      </c>
      <c r="Q166">
        <v>0.70699999999999996</v>
      </c>
      <c r="R166">
        <v>68.599999999999994</v>
      </c>
      <c r="S166">
        <v>0.70709999999999995</v>
      </c>
      <c r="T166">
        <v>0.70589999999999997</v>
      </c>
    </row>
    <row r="167" spans="1:20">
      <c r="A167" t="s">
        <v>420</v>
      </c>
      <c r="J167" t="s">
        <v>655</v>
      </c>
      <c r="N167">
        <v>16.5</v>
      </c>
      <c r="O167">
        <v>0.95550000000000002</v>
      </c>
      <c r="Q167">
        <v>0.70730000000000004</v>
      </c>
      <c r="R167">
        <v>68.5</v>
      </c>
      <c r="S167">
        <v>0.70750000000000002</v>
      </c>
      <c r="T167">
        <v>0.70620000000000005</v>
      </c>
    </row>
    <row r="168" spans="1:20">
      <c r="A168" t="s">
        <v>421</v>
      </c>
      <c r="J168" t="s">
        <v>656</v>
      </c>
      <c r="N168">
        <v>16.600000000000001</v>
      </c>
      <c r="O168">
        <v>0.95489999999999997</v>
      </c>
      <c r="Q168">
        <v>0.7077</v>
      </c>
      <c r="R168">
        <v>68.400000000000006</v>
      </c>
      <c r="S168">
        <v>0.70789999999999997</v>
      </c>
      <c r="T168">
        <v>0.70660000000000001</v>
      </c>
    </row>
    <row r="169" spans="1:20">
      <c r="A169" t="s">
        <v>422</v>
      </c>
      <c r="N169">
        <v>16.7</v>
      </c>
      <c r="O169">
        <v>0.95420000000000005</v>
      </c>
      <c r="Q169">
        <v>0.70799999999999996</v>
      </c>
      <c r="R169">
        <v>68.3</v>
      </c>
      <c r="S169">
        <v>0.70820000000000005</v>
      </c>
      <c r="T169">
        <v>0.70689999999999997</v>
      </c>
    </row>
    <row r="170" spans="1:20">
      <c r="A170" t="s">
        <v>423</v>
      </c>
      <c r="N170">
        <v>16.8</v>
      </c>
      <c r="O170">
        <v>0.9536</v>
      </c>
      <c r="Q170">
        <v>0.70840000000000003</v>
      </c>
      <c r="R170">
        <v>68.2</v>
      </c>
      <c r="S170">
        <v>0.70860000000000001</v>
      </c>
      <c r="T170">
        <v>0.70730000000000004</v>
      </c>
    </row>
    <row r="171" spans="1:20">
      <c r="A171" t="s">
        <v>424</v>
      </c>
      <c r="N171">
        <v>16.899999999999999</v>
      </c>
      <c r="O171">
        <v>0.95289999999999997</v>
      </c>
      <c r="Q171">
        <v>0.7087</v>
      </c>
      <c r="R171">
        <v>68.099999999999994</v>
      </c>
      <c r="S171">
        <v>0.70889999999999997</v>
      </c>
      <c r="T171">
        <v>0.70760000000000001</v>
      </c>
    </row>
    <row r="172" spans="1:20">
      <c r="A172" t="s">
        <v>425</v>
      </c>
      <c r="N172">
        <v>17</v>
      </c>
      <c r="O172">
        <v>0.95230000000000004</v>
      </c>
      <c r="Q172">
        <v>0.70909999999999995</v>
      </c>
      <c r="R172">
        <v>68</v>
      </c>
      <c r="S172">
        <v>0.70930000000000004</v>
      </c>
      <c r="T172">
        <v>0.70799999999999996</v>
      </c>
    </row>
    <row r="173" spans="1:20">
      <c r="A173" t="s">
        <v>426</v>
      </c>
      <c r="N173">
        <v>17.100000000000001</v>
      </c>
      <c r="O173">
        <v>0.95169999999999999</v>
      </c>
      <c r="Q173">
        <v>0.70940000000000003</v>
      </c>
      <c r="R173">
        <v>67.900000000000006</v>
      </c>
      <c r="S173">
        <v>0.70960000000000001</v>
      </c>
      <c r="T173">
        <v>0.70830000000000004</v>
      </c>
    </row>
    <row r="174" spans="1:20">
      <c r="A174" t="s">
        <v>427</v>
      </c>
      <c r="N174">
        <v>17.2</v>
      </c>
      <c r="O174">
        <v>0.95099999999999996</v>
      </c>
      <c r="Q174">
        <v>0.70979999999999999</v>
      </c>
      <c r="R174">
        <v>67.8</v>
      </c>
      <c r="S174">
        <v>0.71</v>
      </c>
      <c r="T174">
        <v>0.7087</v>
      </c>
    </row>
    <row r="175" spans="1:20">
      <c r="A175" t="s">
        <v>428</v>
      </c>
      <c r="N175">
        <v>17.3</v>
      </c>
      <c r="O175">
        <v>0.95040000000000002</v>
      </c>
      <c r="Q175">
        <v>0.71020000000000005</v>
      </c>
      <c r="R175">
        <v>67.7</v>
      </c>
      <c r="S175">
        <v>0.71030000000000004</v>
      </c>
      <c r="T175">
        <v>0.70909999999999995</v>
      </c>
    </row>
    <row r="176" spans="1:20">
      <c r="A176" t="s">
        <v>429</v>
      </c>
      <c r="J176" s="152" t="b">
        <f>'Navarik 설정'!$B$48</f>
        <v>0</v>
      </c>
      <c r="N176">
        <v>17.399999999999999</v>
      </c>
      <c r="O176">
        <v>0.94969999999999999</v>
      </c>
      <c r="Q176">
        <v>0.71050000000000002</v>
      </c>
      <c r="R176">
        <v>67.599999999999994</v>
      </c>
      <c r="S176">
        <v>0.7107</v>
      </c>
      <c r="T176">
        <v>0.70940000000000003</v>
      </c>
    </row>
    <row r="177" spans="1:20">
      <c r="A177" t="s">
        <v>430</v>
      </c>
      <c r="J177" s="152" t="b">
        <f>'Navarik 설정'!$B$49</f>
        <v>1</v>
      </c>
      <c r="N177">
        <v>17.5</v>
      </c>
      <c r="O177">
        <v>0.94910000000000005</v>
      </c>
      <c r="Q177">
        <v>0.71089999999999998</v>
      </c>
      <c r="R177">
        <v>67.5</v>
      </c>
      <c r="S177">
        <v>0.71109999999999995</v>
      </c>
      <c r="T177">
        <v>0.70979999999999999</v>
      </c>
    </row>
    <row r="178" spans="1:20">
      <c r="A178" t="s">
        <v>431</v>
      </c>
      <c r="J178" s="152" t="b">
        <f>'Navarik 설정'!$B$50</f>
        <v>1</v>
      </c>
      <c r="N178">
        <v>17.600000000000001</v>
      </c>
      <c r="O178">
        <v>0.94850000000000001</v>
      </c>
      <c r="Q178">
        <v>0.71120000000000005</v>
      </c>
      <c r="R178">
        <v>67.400000000000006</v>
      </c>
      <c r="S178">
        <v>0.71140000000000003</v>
      </c>
      <c r="T178">
        <v>0.71009999999999995</v>
      </c>
    </row>
    <row r="179" spans="1:20">
      <c r="A179" t="s">
        <v>432</v>
      </c>
      <c r="J179" s="152" t="b">
        <f>'Navarik 설정'!$B$58</f>
        <v>0</v>
      </c>
      <c r="N179">
        <v>17.7</v>
      </c>
      <c r="O179">
        <v>0.94779999999999998</v>
      </c>
      <c r="Q179">
        <v>0.71160000000000001</v>
      </c>
      <c r="R179">
        <v>67.3</v>
      </c>
      <c r="S179">
        <v>0.71179999999999999</v>
      </c>
      <c r="T179">
        <v>0.71050000000000002</v>
      </c>
    </row>
    <row r="180" spans="1:20">
      <c r="A180" t="s">
        <v>433</v>
      </c>
      <c r="J180" s="152" t="b">
        <f>'Navarik 설정'!$B$59</f>
        <v>1</v>
      </c>
      <c r="N180">
        <v>17.8</v>
      </c>
      <c r="O180">
        <v>0.94720000000000004</v>
      </c>
      <c r="Q180">
        <v>0.71189999999999998</v>
      </c>
      <c r="R180">
        <v>67.2</v>
      </c>
      <c r="S180">
        <v>0.71209999999999996</v>
      </c>
      <c r="T180">
        <v>0.71079999999999999</v>
      </c>
    </row>
    <row r="181" spans="1:20">
      <c r="A181" t="s">
        <v>434</v>
      </c>
      <c r="N181">
        <v>17.899999999999999</v>
      </c>
      <c r="O181">
        <v>0.9466</v>
      </c>
      <c r="Q181">
        <v>0.71230000000000004</v>
      </c>
      <c r="R181">
        <v>67.099999999999994</v>
      </c>
      <c r="S181">
        <v>0.71250000000000002</v>
      </c>
      <c r="T181">
        <v>0.71120000000000005</v>
      </c>
    </row>
    <row r="182" spans="1:20">
      <c r="A182" t="s">
        <v>435</v>
      </c>
      <c r="N182">
        <v>18</v>
      </c>
      <c r="O182">
        <v>0.94589999999999996</v>
      </c>
      <c r="Q182">
        <v>0.7127</v>
      </c>
      <c r="R182">
        <v>67</v>
      </c>
      <c r="S182">
        <v>0.71279999999999999</v>
      </c>
      <c r="T182">
        <v>0.71160000000000001</v>
      </c>
    </row>
    <row r="183" spans="1:20">
      <c r="A183" t="s">
        <v>436</v>
      </c>
      <c r="N183">
        <v>18.100000000000001</v>
      </c>
      <c r="O183">
        <v>0.94530000000000003</v>
      </c>
      <c r="Q183">
        <v>0.71299999999999997</v>
      </c>
      <c r="R183">
        <v>66.900000000000006</v>
      </c>
      <c r="S183">
        <v>0.71319999999999995</v>
      </c>
      <c r="T183">
        <v>0.71189999999999998</v>
      </c>
    </row>
    <row r="184" spans="1:20">
      <c r="A184" t="s">
        <v>437</v>
      </c>
      <c r="N184">
        <v>18.2</v>
      </c>
      <c r="O184">
        <v>0.94469999999999998</v>
      </c>
      <c r="Q184">
        <v>0.71340000000000003</v>
      </c>
      <c r="R184">
        <v>66.8</v>
      </c>
      <c r="S184">
        <v>0.71360000000000001</v>
      </c>
      <c r="T184">
        <v>0.71230000000000004</v>
      </c>
    </row>
    <row r="185" spans="1:20">
      <c r="A185" t="s">
        <v>438</v>
      </c>
      <c r="N185">
        <v>18.3</v>
      </c>
      <c r="O185">
        <v>0.94399999999999995</v>
      </c>
      <c r="Q185">
        <v>0.7137</v>
      </c>
      <c r="R185">
        <v>66.7</v>
      </c>
      <c r="S185">
        <v>0.71389999999999998</v>
      </c>
      <c r="T185">
        <v>0.71260000000000001</v>
      </c>
    </row>
    <row r="186" spans="1:20">
      <c r="A186" t="s">
        <v>439</v>
      </c>
      <c r="N186">
        <v>18.399999999999999</v>
      </c>
      <c r="O186">
        <v>0.94340000000000002</v>
      </c>
      <c r="Q186">
        <v>0.71409999999999996</v>
      </c>
      <c r="R186">
        <v>66.599999999999994</v>
      </c>
      <c r="S186">
        <v>0.71430000000000005</v>
      </c>
      <c r="T186">
        <v>0.71299999999999997</v>
      </c>
    </row>
    <row r="187" spans="1:20">
      <c r="A187" t="s">
        <v>440</v>
      </c>
      <c r="N187">
        <v>18.5</v>
      </c>
      <c r="O187">
        <v>0.94279999999999997</v>
      </c>
      <c r="Q187">
        <v>0.71450000000000002</v>
      </c>
      <c r="R187">
        <v>66.5</v>
      </c>
      <c r="S187">
        <v>0.71460000000000001</v>
      </c>
      <c r="T187">
        <v>0.71340000000000003</v>
      </c>
    </row>
    <row r="188" spans="1:20">
      <c r="A188" t="s">
        <v>441</v>
      </c>
      <c r="N188">
        <v>18.600000000000001</v>
      </c>
      <c r="O188">
        <v>0.94220000000000004</v>
      </c>
      <c r="Q188">
        <v>0.71479999999999999</v>
      </c>
      <c r="R188">
        <v>66.400000000000006</v>
      </c>
      <c r="S188">
        <v>0.71499999999999997</v>
      </c>
      <c r="T188">
        <v>0.7137</v>
      </c>
    </row>
    <row r="189" spans="1:20">
      <c r="A189" t="s">
        <v>442</v>
      </c>
      <c r="N189">
        <v>18.7</v>
      </c>
      <c r="O189">
        <v>0.9415</v>
      </c>
      <c r="Q189">
        <v>0.71519999999999995</v>
      </c>
      <c r="R189">
        <v>66.3</v>
      </c>
      <c r="S189">
        <v>0.71540000000000004</v>
      </c>
      <c r="T189">
        <v>0.71409999999999996</v>
      </c>
    </row>
    <row r="190" spans="1:20">
      <c r="A190" t="s">
        <v>443</v>
      </c>
      <c r="N190">
        <v>18.8</v>
      </c>
      <c r="O190">
        <v>0.94089999999999996</v>
      </c>
      <c r="Q190">
        <v>0.71550000000000002</v>
      </c>
      <c r="R190">
        <v>66.2</v>
      </c>
      <c r="S190">
        <v>0.7157</v>
      </c>
      <c r="T190">
        <v>0.71440000000000003</v>
      </c>
    </row>
    <row r="191" spans="1:20">
      <c r="A191" t="s">
        <v>444</v>
      </c>
      <c r="N191">
        <v>18.899999999999999</v>
      </c>
      <c r="O191">
        <v>0.94030000000000002</v>
      </c>
      <c r="Q191">
        <v>0.71589999999999998</v>
      </c>
      <c r="R191">
        <v>66.099999999999994</v>
      </c>
      <c r="S191">
        <v>0.71609999999999996</v>
      </c>
      <c r="T191">
        <v>0.71479999999999999</v>
      </c>
    </row>
    <row r="192" spans="1:20">
      <c r="A192" t="s">
        <v>445</v>
      </c>
      <c r="N192">
        <v>19</v>
      </c>
      <c r="O192">
        <v>0.93969999999999998</v>
      </c>
      <c r="Q192">
        <v>0.71630000000000005</v>
      </c>
      <c r="R192">
        <v>66</v>
      </c>
      <c r="S192">
        <v>0.71650000000000003</v>
      </c>
      <c r="T192">
        <v>0.71519999999999995</v>
      </c>
    </row>
    <row r="193" spans="1:20">
      <c r="A193" t="s">
        <v>446</v>
      </c>
      <c r="N193">
        <v>19.100000000000001</v>
      </c>
      <c r="O193">
        <v>0.93899999999999995</v>
      </c>
      <c r="Q193">
        <v>0.71660000000000001</v>
      </c>
      <c r="R193">
        <v>65.900000000000006</v>
      </c>
      <c r="S193">
        <v>0.71679999999999999</v>
      </c>
      <c r="T193">
        <v>0.71550000000000002</v>
      </c>
    </row>
    <row r="194" spans="1:20">
      <c r="A194" t="s">
        <v>447</v>
      </c>
      <c r="N194">
        <v>19.2</v>
      </c>
      <c r="O194">
        <v>0.93840000000000001</v>
      </c>
      <c r="Q194">
        <v>0.71699999999999997</v>
      </c>
      <c r="R194">
        <v>65.8</v>
      </c>
      <c r="S194">
        <v>0.71719999999999995</v>
      </c>
      <c r="T194">
        <v>0.71589999999999998</v>
      </c>
    </row>
    <row r="195" spans="1:20">
      <c r="A195" t="s">
        <v>448</v>
      </c>
      <c r="N195">
        <v>19.3</v>
      </c>
      <c r="O195">
        <v>0.93779999999999997</v>
      </c>
      <c r="Q195">
        <v>0.71730000000000005</v>
      </c>
      <c r="R195">
        <v>65.7</v>
      </c>
      <c r="S195">
        <v>0.71750000000000003</v>
      </c>
      <c r="T195">
        <v>0.71619999999999995</v>
      </c>
    </row>
    <row r="196" spans="1:20">
      <c r="A196" t="s">
        <v>449</v>
      </c>
      <c r="N196">
        <v>19.399999999999999</v>
      </c>
      <c r="O196">
        <v>0.93720000000000003</v>
      </c>
      <c r="Q196">
        <v>0.7177</v>
      </c>
      <c r="R196">
        <v>65.599999999999994</v>
      </c>
      <c r="S196">
        <v>0.71789999999999998</v>
      </c>
      <c r="T196">
        <v>0.71660000000000001</v>
      </c>
    </row>
    <row r="197" spans="1:20">
      <c r="A197" t="s">
        <v>450</v>
      </c>
      <c r="N197">
        <v>19.5</v>
      </c>
      <c r="O197">
        <v>0.9365</v>
      </c>
      <c r="Q197">
        <v>0.71809999999999996</v>
      </c>
      <c r="R197">
        <v>65.5</v>
      </c>
      <c r="S197">
        <v>0.71830000000000005</v>
      </c>
      <c r="T197">
        <v>0.71699999999999997</v>
      </c>
    </row>
    <row r="198" spans="1:20">
      <c r="A198" t="s">
        <v>451</v>
      </c>
      <c r="N198">
        <v>19.600000000000001</v>
      </c>
      <c r="O198">
        <v>0.93589999999999995</v>
      </c>
      <c r="Q198">
        <v>0.71840000000000004</v>
      </c>
      <c r="R198">
        <v>65.400000000000006</v>
      </c>
      <c r="S198">
        <v>0.71860000000000002</v>
      </c>
      <c r="T198">
        <v>0.71730000000000005</v>
      </c>
    </row>
    <row r="199" spans="1:20">
      <c r="A199" t="s">
        <v>452</v>
      </c>
      <c r="N199">
        <v>19.7</v>
      </c>
      <c r="O199">
        <v>0.93530000000000002</v>
      </c>
      <c r="Q199">
        <v>0.71879999999999999</v>
      </c>
      <c r="R199">
        <v>65.3</v>
      </c>
      <c r="S199">
        <v>0.71899999999999997</v>
      </c>
      <c r="T199">
        <v>0.7177</v>
      </c>
    </row>
    <row r="200" spans="1:20">
      <c r="A200" t="s">
        <v>453</v>
      </c>
      <c r="N200">
        <v>19.8</v>
      </c>
      <c r="O200">
        <v>0.93469999999999998</v>
      </c>
      <c r="Q200">
        <v>0.71919999999999995</v>
      </c>
      <c r="R200">
        <v>65.2</v>
      </c>
      <c r="S200">
        <v>0.71940000000000004</v>
      </c>
      <c r="T200">
        <v>0.71809999999999996</v>
      </c>
    </row>
    <row r="201" spans="1:20">
      <c r="A201" t="s">
        <v>454</v>
      </c>
      <c r="N201">
        <v>19.899999999999999</v>
      </c>
      <c r="O201">
        <v>0.93410000000000004</v>
      </c>
      <c r="Q201">
        <v>0.71950000000000003</v>
      </c>
      <c r="R201">
        <v>65.099999999999994</v>
      </c>
      <c r="S201">
        <v>0.71970000000000001</v>
      </c>
      <c r="T201">
        <v>0.71840000000000004</v>
      </c>
    </row>
    <row r="202" spans="1:20">
      <c r="A202" t="s">
        <v>455</v>
      </c>
      <c r="N202">
        <v>20</v>
      </c>
      <c r="O202">
        <v>0.9335</v>
      </c>
      <c r="Q202">
        <v>0.71989999999999998</v>
      </c>
      <c r="R202">
        <v>65</v>
      </c>
      <c r="S202">
        <v>0.72009999999999996</v>
      </c>
      <c r="T202">
        <v>0.71879999999999999</v>
      </c>
    </row>
    <row r="203" spans="1:20">
      <c r="A203" t="s">
        <v>456</v>
      </c>
      <c r="N203">
        <v>20.100000000000001</v>
      </c>
      <c r="O203">
        <v>0.93279999999999996</v>
      </c>
      <c r="Q203">
        <v>0.72030000000000005</v>
      </c>
      <c r="R203">
        <v>64.900000000000006</v>
      </c>
      <c r="S203">
        <v>0.72050000000000003</v>
      </c>
      <c r="T203">
        <v>0.71919999999999995</v>
      </c>
    </row>
    <row r="204" spans="1:20">
      <c r="A204" t="s">
        <v>457</v>
      </c>
      <c r="N204">
        <v>20.2</v>
      </c>
      <c r="O204">
        <v>0.93220000000000003</v>
      </c>
      <c r="Q204">
        <v>0.72060000000000002</v>
      </c>
      <c r="R204">
        <v>64.8</v>
      </c>
      <c r="S204">
        <v>0.7208</v>
      </c>
      <c r="T204">
        <v>0.71950000000000003</v>
      </c>
    </row>
    <row r="205" spans="1:20">
      <c r="A205" t="s">
        <v>458</v>
      </c>
      <c r="N205">
        <v>20.3</v>
      </c>
      <c r="O205">
        <v>0.93159999999999998</v>
      </c>
      <c r="Q205">
        <v>0.72099999999999997</v>
      </c>
      <c r="R205">
        <v>64.7</v>
      </c>
      <c r="S205">
        <v>0.72119999999999995</v>
      </c>
      <c r="T205">
        <v>0.71989999999999998</v>
      </c>
    </row>
    <row r="206" spans="1:20">
      <c r="A206" t="s">
        <v>459</v>
      </c>
      <c r="N206">
        <v>20.399999999999999</v>
      </c>
      <c r="O206">
        <v>0.93100000000000005</v>
      </c>
      <c r="Q206">
        <v>0.72140000000000004</v>
      </c>
      <c r="R206">
        <v>64.599999999999994</v>
      </c>
      <c r="S206">
        <v>0.72160000000000002</v>
      </c>
      <c r="T206">
        <v>0.72030000000000005</v>
      </c>
    </row>
    <row r="207" spans="1:20">
      <c r="A207" t="s">
        <v>460</v>
      </c>
      <c r="N207">
        <v>20.5</v>
      </c>
      <c r="O207">
        <v>0.9304</v>
      </c>
      <c r="Q207">
        <v>0.72170000000000001</v>
      </c>
      <c r="R207">
        <v>64.5</v>
      </c>
      <c r="S207">
        <v>0.72189999999999999</v>
      </c>
      <c r="T207">
        <v>0.72060000000000002</v>
      </c>
    </row>
    <row r="208" spans="1:20">
      <c r="A208" t="s">
        <v>461</v>
      </c>
      <c r="N208">
        <v>20.6</v>
      </c>
      <c r="O208">
        <v>0.92979999999999996</v>
      </c>
      <c r="Q208">
        <v>0.72209999999999996</v>
      </c>
      <c r="R208">
        <v>64.400000000000006</v>
      </c>
      <c r="S208">
        <v>0.72230000000000005</v>
      </c>
      <c r="T208">
        <v>0.72099999999999997</v>
      </c>
    </row>
    <row r="209" spans="1:20">
      <c r="A209" t="s">
        <v>462</v>
      </c>
      <c r="N209">
        <v>20.7</v>
      </c>
      <c r="O209">
        <v>0.92920000000000003</v>
      </c>
      <c r="Q209">
        <v>0.72250000000000003</v>
      </c>
      <c r="R209">
        <v>64.3</v>
      </c>
      <c r="S209">
        <v>0.72270000000000001</v>
      </c>
      <c r="T209">
        <v>0.72140000000000004</v>
      </c>
    </row>
    <row r="210" spans="1:20">
      <c r="A210" t="s">
        <v>463</v>
      </c>
      <c r="N210">
        <v>20.8</v>
      </c>
      <c r="O210">
        <v>0.92859999999999998</v>
      </c>
      <c r="Q210">
        <v>0.7228</v>
      </c>
      <c r="R210">
        <v>64.2</v>
      </c>
      <c r="S210">
        <v>0.72299999999999998</v>
      </c>
      <c r="T210">
        <v>0.72170000000000001</v>
      </c>
    </row>
    <row r="211" spans="1:20">
      <c r="A211" t="s">
        <v>464</v>
      </c>
      <c r="N211">
        <v>20.9</v>
      </c>
      <c r="O211">
        <v>0.92789999999999995</v>
      </c>
      <c r="Q211">
        <v>0.72319999999999995</v>
      </c>
      <c r="R211">
        <v>64.099999999999994</v>
      </c>
      <c r="S211">
        <v>0.72340000000000004</v>
      </c>
      <c r="T211">
        <v>0.72209999999999996</v>
      </c>
    </row>
    <row r="212" spans="1:20">
      <c r="A212" t="s">
        <v>465</v>
      </c>
      <c r="N212">
        <v>21</v>
      </c>
      <c r="O212">
        <v>0.92730000000000001</v>
      </c>
      <c r="Q212">
        <v>0.72360000000000002</v>
      </c>
      <c r="R212">
        <v>64</v>
      </c>
      <c r="S212">
        <v>0.7238</v>
      </c>
      <c r="T212">
        <v>0.72250000000000003</v>
      </c>
    </row>
    <row r="213" spans="1:20">
      <c r="A213" t="s">
        <v>466</v>
      </c>
      <c r="N213">
        <v>21.1</v>
      </c>
      <c r="O213">
        <v>0.92669999999999997</v>
      </c>
      <c r="Q213">
        <v>0.72389999999999999</v>
      </c>
      <c r="R213">
        <v>63.9</v>
      </c>
      <c r="S213">
        <v>0.72419999999999995</v>
      </c>
      <c r="T213">
        <v>0.7228</v>
      </c>
    </row>
    <row r="214" spans="1:20">
      <c r="A214" t="s">
        <v>467</v>
      </c>
      <c r="N214">
        <v>21.2</v>
      </c>
      <c r="O214">
        <v>0.92610000000000003</v>
      </c>
      <c r="Q214">
        <v>0.72430000000000005</v>
      </c>
      <c r="R214">
        <v>63.8</v>
      </c>
      <c r="S214">
        <v>0.72450000000000003</v>
      </c>
      <c r="T214">
        <v>0.72319999999999995</v>
      </c>
    </row>
    <row r="215" spans="1:20">
      <c r="A215" t="s">
        <v>468</v>
      </c>
      <c r="N215">
        <v>21.3</v>
      </c>
      <c r="O215">
        <v>0.92549999999999999</v>
      </c>
      <c r="Q215">
        <v>0.72470000000000001</v>
      </c>
      <c r="R215">
        <v>63.7</v>
      </c>
      <c r="S215">
        <v>0.72489999999999999</v>
      </c>
      <c r="T215">
        <v>0.72360000000000002</v>
      </c>
    </row>
    <row r="216" spans="1:20">
      <c r="A216" t="s">
        <v>469</v>
      </c>
      <c r="N216">
        <v>21.4</v>
      </c>
      <c r="O216">
        <v>0.92490000000000006</v>
      </c>
      <c r="Q216">
        <v>0.72509999999999997</v>
      </c>
      <c r="R216">
        <v>63.6</v>
      </c>
      <c r="S216">
        <v>0.72529999999999994</v>
      </c>
      <c r="T216">
        <v>0.72399999999999998</v>
      </c>
    </row>
    <row r="217" spans="1:20">
      <c r="A217" t="s">
        <v>470</v>
      </c>
      <c r="N217">
        <v>21.5</v>
      </c>
      <c r="O217">
        <v>0.92430000000000001</v>
      </c>
      <c r="Q217">
        <v>0.72540000000000004</v>
      </c>
      <c r="R217">
        <v>63.5</v>
      </c>
      <c r="S217">
        <v>0.72560000000000002</v>
      </c>
      <c r="T217">
        <v>0.72430000000000005</v>
      </c>
    </row>
    <row r="218" spans="1:20">
      <c r="A218" t="s">
        <v>471</v>
      </c>
      <c r="N218">
        <v>21.6</v>
      </c>
      <c r="O218">
        <v>0.92369999999999997</v>
      </c>
      <c r="Q218">
        <v>0.7258</v>
      </c>
      <c r="R218">
        <v>63.4</v>
      </c>
      <c r="S218">
        <v>0.72599999999999998</v>
      </c>
      <c r="T218">
        <v>0.72470000000000001</v>
      </c>
    </row>
    <row r="219" spans="1:20">
      <c r="A219" t="s">
        <v>472</v>
      </c>
      <c r="N219">
        <v>21.7</v>
      </c>
      <c r="O219">
        <v>0.92310000000000003</v>
      </c>
      <c r="Q219">
        <v>0.72619999999999996</v>
      </c>
      <c r="R219">
        <v>63.3</v>
      </c>
      <c r="S219">
        <v>0.72640000000000005</v>
      </c>
      <c r="T219">
        <v>0.72509999999999997</v>
      </c>
    </row>
    <row r="220" spans="1:20">
      <c r="A220" t="s">
        <v>473</v>
      </c>
      <c r="N220">
        <v>21.8</v>
      </c>
      <c r="O220">
        <v>0.92249999999999999</v>
      </c>
      <c r="Q220">
        <v>0.72650000000000003</v>
      </c>
      <c r="R220">
        <v>63.2</v>
      </c>
      <c r="S220">
        <v>0.7268</v>
      </c>
      <c r="T220">
        <v>0.72540000000000004</v>
      </c>
    </row>
    <row r="221" spans="1:20">
      <c r="A221" t="s">
        <v>474</v>
      </c>
      <c r="N221">
        <v>21.9</v>
      </c>
      <c r="O221">
        <v>0.92190000000000005</v>
      </c>
      <c r="Q221">
        <v>0.72689999999999999</v>
      </c>
      <c r="R221">
        <v>63.1</v>
      </c>
      <c r="S221">
        <v>0.72709999999999997</v>
      </c>
      <c r="T221">
        <v>0.7258</v>
      </c>
    </row>
    <row r="222" spans="1:20">
      <c r="A222" t="s">
        <v>475</v>
      </c>
      <c r="N222">
        <v>22</v>
      </c>
      <c r="O222">
        <v>0.92130000000000001</v>
      </c>
      <c r="Q222">
        <v>0.72729999999999995</v>
      </c>
      <c r="R222">
        <v>63</v>
      </c>
      <c r="S222">
        <v>0.72750000000000004</v>
      </c>
      <c r="T222">
        <v>0.72619999999999996</v>
      </c>
    </row>
    <row r="223" spans="1:20">
      <c r="A223" t="s">
        <v>476</v>
      </c>
      <c r="N223">
        <v>22.1</v>
      </c>
      <c r="O223">
        <v>0.92069999999999996</v>
      </c>
      <c r="Q223">
        <v>0.72770000000000001</v>
      </c>
      <c r="R223">
        <v>62.9</v>
      </c>
      <c r="S223">
        <v>0.72789999999999999</v>
      </c>
      <c r="T223">
        <v>0.72660000000000002</v>
      </c>
    </row>
    <row r="224" spans="1:20">
      <c r="A224" t="s">
        <v>477</v>
      </c>
      <c r="N224">
        <v>22.2</v>
      </c>
      <c r="O224">
        <v>0.92010000000000003</v>
      </c>
      <c r="Q224">
        <v>0.72799999999999998</v>
      </c>
      <c r="R224">
        <v>62.8</v>
      </c>
      <c r="S224">
        <v>0.72829999999999995</v>
      </c>
      <c r="T224">
        <v>0.72689999999999999</v>
      </c>
    </row>
    <row r="225" spans="1:20">
      <c r="A225" t="s">
        <v>478</v>
      </c>
      <c r="N225">
        <v>22.3</v>
      </c>
      <c r="O225">
        <v>0.91949999999999998</v>
      </c>
      <c r="Q225">
        <v>0.72840000000000005</v>
      </c>
      <c r="R225">
        <v>62.7</v>
      </c>
      <c r="S225">
        <v>0.72860000000000003</v>
      </c>
      <c r="T225">
        <v>0.72729999999999995</v>
      </c>
    </row>
    <row r="226" spans="1:20">
      <c r="A226" t="s">
        <v>479</v>
      </c>
      <c r="N226">
        <v>22.4</v>
      </c>
      <c r="O226">
        <v>0.91890000000000005</v>
      </c>
      <c r="Q226">
        <v>0.7288</v>
      </c>
      <c r="R226">
        <v>62.6</v>
      </c>
      <c r="S226">
        <v>0.72899999999999998</v>
      </c>
      <c r="T226">
        <v>0.72770000000000001</v>
      </c>
    </row>
    <row r="227" spans="1:20">
      <c r="A227" t="s">
        <v>480</v>
      </c>
      <c r="N227">
        <v>22.5</v>
      </c>
      <c r="O227">
        <v>0.91830000000000001</v>
      </c>
      <c r="Q227">
        <v>0.72919999999999996</v>
      </c>
      <c r="R227">
        <v>62.5</v>
      </c>
      <c r="S227">
        <v>0.72940000000000005</v>
      </c>
      <c r="T227">
        <v>0.72809999999999997</v>
      </c>
    </row>
    <row r="228" spans="1:20">
      <c r="A228" t="s">
        <v>481</v>
      </c>
      <c r="N228">
        <v>22.6</v>
      </c>
      <c r="O228">
        <v>0.91769999999999996</v>
      </c>
      <c r="Q228">
        <v>0.72950000000000004</v>
      </c>
      <c r="R228">
        <v>62.4</v>
      </c>
      <c r="S228">
        <v>0.7298</v>
      </c>
      <c r="T228">
        <v>0.72840000000000005</v>
      </c>
    </row>
    <row r="229" spans="1:20">
      <c r="A229" t="s">
        <v>482</v>
      </c>
      <c r="N229">
        <v>22.7</v>
      </c>
      <c r="O229">
        <v>0.91710000000000003</v>
      </c>
      <c r="Q229">
        <v>0.72989999999999999</v>
      </c>
      <c r="R229">
        <v>62.3</v>
      </c>
      <c r="S229">
        <v>0.73009999999999997</v>
      </c>
      <c r="T229">
        <v>0.7288</v>
      </c>
    </row>
    <row r="230" spans="1:20">
      <c r="A230" t="s">
        <v>483</v>
      </c>
      <c r="N230">
        <v>22.8</v>
      </c>
      <c r="O230">
        <v>0.91649999999999998</v>
      </c>
      <c r="Q230">
        <v>0.73029999999999995</v>
      </c>
      <c r="R230">
        <v>62.2</v>
      </c>
      <c r="S230">
        <v>0.73050000000000004</v>
      </c>
      <c r="T230">
        <v>0.72919999999999996</v>
      </c>
    </row>
    <row r="231" spans="1:20">
      <c r="A231" t="s">
        <v>484</v>
      </c>
      <c r="N231">
        <v>22.9</v>
      </c>
      <c r="O231">
        <v>0.91590000000000005</v>
      </c>
      <c r="Q231">
        <v>0.73070000000000002</v>
      </c>
      <c r="R231">
        <v>62.1</v>
      </c>
      <c r="S231">
        <v>0.73089999999999999</v>
      </c>
      <c r="T231">
        <v>0.72960000000000003</v>
      </c>
    </row>
    <row r="232" spans="1:20">
      <c r="A232" t="s">
        <v>485</v>
      </c>
      <c r="N232">
        <v>23</v>
      </c>
      <c r="O232">
        <v>0.9153</v>
      </c>
      <c r="Q232">
        <v>0.73109999999999997</v>
      </c>
      <c r="R232">
        <v>62</v>
      </c>
      <c r="S232">
        <v>0.73129999999999995</v>
      </c>
      <c r="T232">
        <v>0.73</v>
      </c>
    </row>
    <row r="233" spans="1:20">
      <c r="A233" t="s">
        <v>486</v>
      </c>
      <c r="N233">
        <v>23.1</v>
      </c>
      <c r="O233">
        <v>0.91469999999999996</v>
      </c>
      <c r="Q233">
        <v>0.73140000000000005</v>
      </c>
      <c r="R233">
        <v>61.9</v>
      </c>
      <c r="S233">
        <v>0.73160000000000003</v>
      </c>
      <c r="T233">
        <v>0.73029999999999995</v>
      </c>
    </row>
    <row r="234" spans="1:20">
      <c r="A234" t="s">
        <v>487</v>
      </c>
      <c r="N234">
        <v>23.2</v>
      </c>
      <c r="O234">
        <v>0.91420000000000001</v>
      </c>
      <c r="Q234">
        <v>0.73180000000000001</v>
      </c>
      <c r="R234">
        <v>61.8</v>
      </c>
      <c r="S234">
        <v>0.73199999999999998</v>
      </c>
      <c r="T234">
        <v>0.73070000000000002</v>
      </c>
    </row>
    <row r="235" spans="1:20">
      <c r="A235" t="s">
        <v>488</v>
      </c>
      <c r="N235">
        <v>23.3</v>
      </c>
      <c r="O235">
        <v>0.91359999999999997</v>
      </c>
      <c r="Q235">
        <v>0.73219999999999996</v>
      </c>
      <c r="R235">
        <v>61.7</v>
      </c>
      <c r="S235">
        <v>0.73240000000000005</v>
      </c>
      <c r="T235">
        <v>0.73109999999999997</v>
      </c>
    </row>
    <row r="236" spans="1:20">
      <c r="A236" t="s">
        <v>489</v>
      </c>
      <c r="N236">
        <v>23.4</v>
      </c>
      <c r="O236">
        <v>0.91300000000000003</v>
      </c>
      <c r="Q236">
        <v>0.73260000000000003</v>
      </c>
      <c r="R236">
        <v>61.6</v>
      </c>
      <c r="S236">
        <v>0.73280000000000001</v>
      </c>
      <c r="T236">
        <v>0.73150000000000004</v>
      </c>
    </row>
    <row r="237" spans="1:20">
      <c r="A237" t="s">
        <v>490</v>
      </c>
      <c r="N237">
        <v>23.5</v>
      </c>
      <c r="O237">
        <v>0.91239999999999999</v>
      </c>
      <c r="Q237">
        <v>0.7329</v>
      </c>
      <c r="R237">
        <v>61.5</v>
      </c>
      <c r="S237">
        <v>0.73319999999999996</v>
      </c>
      <c r="T237">
        <v>0.73180000000000001</v>
      </c>
    </row>
    <row r="238" spans="1:20">
      <c r="A238" t="s">
        <v>491</v>
      </c>
      <c r="N238">
        <v>23.6</v>
      </c>
      <c r="O238">
        <v>0.91180000000000005</v>
      </c>
      <c r="Q238">
        <v>0.73329999999999995</v>
      </c>
      <c r="R238">
        <v>61.4</v>
      </c>
      <c r="S238">
        <v>0.73350000000000004</v>
      </c>
      <c r="T238">
        <v>0.73219999999999996</v>
      </c>
    </row>
    <row r="239" spans="1:20">
      <c r="A239" t="s">
        <v>492</v>
      </c>
      <c r="N239">
        <v>23.7</v>
      </c>
      <c r="O239">
        <v>0.91120000000000001</v>
      </c>
      <c r="Q239">
        <v>0.73370000000000002</v>
      </c>
      <c r="R239">
        <v>61.3</v>
      </c>
      <c r="S239">
        <v>0.7339</v>
      </c>
      <c r="T239">
        <v>0.73260000000000003</v>
      </c>
    </row>
    <row r="240" spans="1:20">
      <c r="A240" t="s">
        <v>493</v>
      </c>
      <c r="N240">
        <v>23.8</v>
      </c>
      <c r="O240">
        <v>0.91059999999999997</v>
      </c>
      <c r="Q240">
        <v>0.73409999999999997</v>
      </c>
      <c r="R240">
        <v>61.2</v>
      </c>
      <c r="S240">
        <v>0.73429999999999995</v>
      </c>
      <c r="T240">
        <v>0.73299999999999998</v>
      </c>
    </row>
    <row r="241" spans="1:20">
      <c r="A241" t="s">
        <v>494</v>
      </c>
      <c r="N241">
        <v>23.9</v>
      </c>
      <c r="O241">
        <v>0.91</v>
      </c>
      <c r="Q241">
        <v>0.73450000000000004</v>
      </c>
      <c r="R241">
        <v>61.1</v>
      </c>
      <c r="S241">
        <v>0.73470000000000002</v>
      </c>
      <c r="T241">
        <v>0.73340000000000005</v>
      </c>
    </row>
    <row r="242" spans="1:20">
      <c r="A242" t="s">
        <v>495</v>
      </c>
      <c r="N242">
        <v>24</v>
      </c>
      <c r="O242">
        <v>0.90949999999999998</v>
      </c>
      <c r="Q242">
        <v>0.73480000000000001</v>
      </c>
      <c r="R242">
        <v>61</v>
      </c>
      <c r="S242">
        <v>0.73509999999999998</v>
      </c>
      <c r="T242">
        <v>0.73370000000000002</v>
      </c>
    </row>
    <row r="243" spans="1:20">
      <c r="A243" t="s">
        <v>496</v>
      </c>
      <c r="N243">
        <v>24.1</v>
      </c>
      <c r="O243">
        <v>0.90890000000000004</v>
      </c>
      <c r="Q243">
        <v>0.73519999999999996</v>
      </c>
      <c r="R243">
        <v>60.9</v>
      </c>
      <c r="S243">
        <v>0.73540000000000005</v>
      </c>
      <c r="T243">
        <v>0.73409999999999997</v>
      </c>
    </row>
    <row r="244" spans="1:20">
      <c r="A244" t="s">
        <v>497</v>
      </c>
      <c r="N244">
        <v>24.2</v>
      </c>
      <c r="O244">
        <v>0.9083</v>
      </c>
      <c r="Q244">
        <v>0.73560000000000003</v>
      </c>
      <c r="R244">
        <v>60.8</v>
      </c>
      <c r="S244">
        <v>0.73580000000000001</v>
      </c>
      <c r="T244">
        <v>0.73450000000000004</v>
      </c>
    </row>
    <row r="245" spans="1:20">
      <c r="A245" t="s">
        <v>498</v>
      </c>
      <c r="N245">
        <v>24.3</v>
      </c>
      <c r="O245">
        <v>0.90769999999999995</v>
      </c>
      <c r="Q245">
        <v>0.73599999999999999</v>
      </c>
      <c r="R245">
        <v>60.7</v>
      </c>
      <c r="S245">
        <v>0.73619999999999997</v>
      </c>
      <c r="T245">
        <v>0.7349</v>
      </c>
    </row>
    <row r="246" spans="1:20">
      <c r="A246" t="s">
        <v>499</v>
      </c>
      <c r="N246">
        <v>24.4</v>
      </c>
      <c r="O246">
        <v>0.90710000000000002</v>
      </c>
      <c r="Q246">
        <v>0.73640000000000005</v>
      </c>
      <c r="R246">
        <v>60.6</v>
      </c>
      <c r="S246">
        <v>0.73660000000000003</v>
      </c>
      <c r="T246">
        <v>0.73529999999999995</v>
      </c>
    </row>
    <row r="247" spans="1:20">
      <c r="A247" t="s">
        <v>500</v>
      </c>
      <c r="N247">
        <v>24.5</v>
      </c>
      <c r="O247">
        <v>0.90649999999999997</v>
      </c>
      <c r="Q247">
        <v>0.73680000000000001</v>
      </c>
      <c r="R247">
        <v>60.5</v>
      </c>
      <c r="S247">
        <v>0.73699999999999999</v>
      </c>
      <c r="T247">
        <v>0.73570000000000002</v>
      </c>
    </row>
    <row r="248" spans="1:20">
      <c r="A248" t="s">
        <v>501</v>
      </c>
      <c r="N248">
        <v>24.6</v>
      </c>
      <c r="O248">
        <v>0.90600000000000003</v>
      </c>
      <c r="Q248">
        <v>0.73709999999999998</v>
      </c>
      <c r="R248">
        <v>60.4</v>
      </c>
      <c r="S248">
        <v>0.73740000000000006</v>
      </c>
      <c r="T248">
        <v>0.73599999999999999</v>
      </c>
    </row>
    <row r="249" spans="1:20">
      <c r="A249" t="s">
        <v>502</v>
      </c>
      <c r="N249">
        <v>24.7</v>
      </c>
      <c r="O249">
        <v>0.90539999999999998</v>
      </c>
      <c r="Q249">
        <v>0.73750000000000004</v>
      </c>
      <c r="R249">
        <v>60.3</v>
      </c>
      <c r="S249">
        <v>0.73770000000000002</v>
      </c>
      <c r="T249">
        <v>0.73640000000000005</v>
      </c>
    </row>
    <row r="250" spans="1:20">
      <c r="A250" t="s">
        <v>503</v>
      </c>
      <c r="N250">
        <v>24.8</v>
      </c>
      <c r="O250">
        <v>0.90480000000000005</v>
      </c>
      <c r="Q250">
        <v>0.7379</v>
      </c>
      <c r="R250">
        <v>60.2</v>
      </c>
      <c r="S250">
        <v>0.73809999999999998</v>
      </c>
      <c r="T250">
        <v>0.73680000000000001</v>
      </c>
    </row>
    <row r="251" spans="1:20">
      <c r="A251" t="s">
        <v>504</v>
      </c>
      <c r="N251">
        <v>24.9</v>
      </c>
      <c r="O251">
        <v>0.9042</v>
      </c>
      <c r="Q251">
        <v>0.73829999999999996</v>
      </c>
      <c r="R251">
        <v>60.1</v>
      </c>
      <c r="S251">
        <v>0.73850000000000005</v>
      </c>
      <c r="T251">
        <v>0.73719999999999997</v>
      </c>
    </row>
    <row r="252" spans="1:20">
      <c r="A252" t="s">
        <v>505</v>
      </c>
      <c r="N252">
        <v>25</v>
      </c>
      <c r="O252">
        <v>0.90359999999999996</v>
      </c>
      <c r="Q252">
        <v>0.73870000000000002</v>
      </c>
      <c r="R252">
        <v>60</v>
      </c>
      <c r="S252">
        <v>0.7389</v>
      </c>
      <c r="T252">
        <v>0.73760000000000003</v>
      </c>
    </row>
    <row r="253" spans="1:20">
      <c r="A253" t="s">
        <v>506</v>
      </c>
      <c r="N253">
        <v>25.1</v>
      </c>
      <c r="O253">
        <v>0.90310000000000001</v>
      </c>
      <c r="Q253">
        <v>0.73909999999999998</v>
      </c>
      <c r="R253">
        <v>59.9</v>
      </c>
      <c r="S253">
        <v>0.73929999999999996</v>
      </c>
      <c r="T253">
        <v>0.73799999999999999</v>
      </c>
    </row>
    <row r="254" spans="1:20">
      <c r="A254" t="s">
        <v>507</v>
      </c>
      <c r="N254">
        <v>25.2</v>
      </c>
      <c r="O254">
        <v>0.90249999999999997</v>
      </c>
      <c r="Q254">
        <v>0.73939999999999995</v>
      </c>
      <c r="R254">
        <v>59.8</v>
      </c>
      <c r="S254">
        <v>0.73970000000000002</v>
      </c>
      <c r="T254">
        <v>0.73829999999999996</v>
      </c>
    </row>
    <row r="255" spans="1:20">
      <c r="A255" t="s">
        <v>508</v>
      </c>
      <c r="N255">
        <v>25.3</v>
      </c>
      <c r="O255">
        <v>0.90190000000000003</v>
      </c>
      <c r="Q255">
        <v>0.73980000000000001</v>
      </c>
      <c r="R255">
        <v>59.7</v>
      </c>
      <c r="S255">
        <v>0.74009999999999998</v>
      </c>
      <c r="T255">
        <v>0.73870000000000002</v>
      </c>
    </row>
    <row r="256" spans="1:20">
      <c r="A256" t="s">
        <v>509</v>
      </c>
      <c r="N256">
        <v>25.4</v>
      </c>
      <c r="O256">
        <v>0.90129999999999999</v>
      </c>
      <c r="Q256">
        <v>0.74019999999999997</v>
      </c>
      <c r="R256">
        <v>59.6</v>
      </c>
      <c r="S256">
        <v>0.74050000000000005</v>
      </c>
      <c r="T256">
        <v>0.73909999999999998</v>
      </c>
    </row>
    <row r="257" spans="1:20">
      <c r="A257" t="s">
        <v>510</v>
      </c>
      <c r="N257">
        <v>25.5</v>
      </c>
      <c r="O257">
        <v>0.90080000000000005</v>
      </c>
      <c r="Q257">
        <v>0.74060000000000004</v>
      </c>
      <c r="R257">
        <v>59.5</v>
      </c>
      <c r="S257">
        <v>0.74080000000000001</v>
      </c>
      <c r="T257">
        <v>0.73950000000000005</v>
      </c>
    </row>
    <row r="258" spans="1:20">
      <c r="A258" t="s">
        <v>511</v>
      </c>
      <c r="N258">
        <v>25.6</v>
      </c>
      <c r="O258">
        <v>0.9002</v>
      </c>
      <c r="Q258">
        <v>0.74099999999999999</v>
      </c>
      <c r="R258">
        <v>59.4</v>
      </c>
      <c r="S258">
        <v>0.74119999999999997</v>
      </c>
      <c r="T258">
        <v>0.7399</v>
      </c>
    </row>
    <row r="259" spans="1:20">
      <c r="A259" t="s">
        <v>512</v>
      </c>
      <c r="N259">
        <v>25.7</v>
      </c>
      <c r="O259">
        <v>0.89959999999999996</v>
      </c>
      <c r="Q259">
        <v>0.74139999999999995</v>
      </c>
      <c r="R259">
        <v>59.3</v>
      </c>
      <c r="S259">
        <v>0.74160000000000004</v>
      </c>
      <c r="T259">
        <v>0.74029999999999996</v>
      </c>
    </row>
    <row r="260" spans="1:20">
      <c r="A260" t="s">
        <v>513</v>
      </c>
      <c r="N260">
        <v>25.8</v>
      </c>
      <c r="O260">
        <v>0.89910000000000001</v>
      </c>
      <c r="Q260">
        <v>0.74180000000000001</v>
      </c>
      <c r="R260">
        <v>59.2</v>
      </c>
      <c r="S260">
        <v>0.74199999999999999</v>
      </c>
      <c r="T260">
        <v>0.74070000000000003</v>
      </c>
    </row>
    <row r="261" spans="1:20">
      <c r="A261" t="s">
        <v>514</v>
      </c>
      <c r="N261">
        <v>25.9</v>
      </c>
      <c r="O261">
        <v>0.89849999999999997</v>
      </c>
      <c r="Q261">
        <v>0.74219999999999997</v>
      </c>
      <c r="R261">
        <v>59.1</v>
      </c>
      <c r="S261">
        <v>0.74239999999999995</v>
      </c>
      <c r="T261">
        <v>0.74109999999999998</v>
      </c>
    </row>
    <row r="262" spans="1:20">
      <c r="A262" t="s">
        <v>515</v>
      </c>
      <c r="N262">
        <v>26</v>
      </c>
      <c r="O262">
        <v>0.89790000000000003</v>
      </c>
      <c r="Q262">
        <v>0.74260000000000004</v>
      </c>
      <c r="R262">
        <v>59</v>
      </c>
      <c r="S262">
        <v>0.74280000000000002</v>
      </c>
      <c r="T262">
        <v>0.74150000000000005</v>
      </c>
    </row>
    <row r="263" spans="1:20">
      <c r="A263" t="s">
        <v>516</v>
      </c>
      <c r="N263">
        <v>26.1</v>
      </c>
      <c r="O263">
        <v>0.89729999999999999</v>
      </c>
      <c r="Q263">
        <v>0.7429</v>
      </c>
      <c r="R263">
        <v>58.9</v>
      </c>
      <c r="S263">
        <v>0.74319999999999997</v>
      </c>
      <c r="T263">
        <v>0.74180000000000001</v>
      </c>
    </row>
    <row r="264" spans="1:20">
      <c r="A264" t="s">
        <v>517</v>
      </c>
      <c r="N264">
        <v>26.2</v>
      </c>
      <c r="O264">
        <v>0.89680000000000004</v>
      </c>
      <c r="Q264">
        <v>0.74329999999999996</v>
      </c>
      <c r="R264">
        <v>58.8</v>
      </c>
      <c r="S264">
        <v>0.74360000000000004</v>
      </c>
      <c r="T264">
        <v>0.74219999999999997</v>
      </c>
    </row>
    <row r="265" spans="1:20">
      <c r="A265" t="s">
        <v>518</v>
      </c>
      <c r="N265">
        <v>26.3</v>
      </c>
      <c r="O265">
        <v>0.8962</v>
      </c>
      <c r="Q265">
        <v>0.74370000000000003</v>
      </c>
      <c r="R265">
        <v>58.7</v>
      </c>
      <c r="S265">
        <v>0.74399999999999999</v>
      </c>
      <c r="T265">
        <v>0.74260000000000004</v>
      </c>
    </row>
    <row r="266" spans="1:20">
      <c r="A266" t="s">
        <v>519</v>
      </c>
      <c r="N266">
        <v>26.4</v>
      </c>
      <c r="O266">
        <v>0.89559999999999995</v>
      </c>
      <c r="Q266">
        <v>0.74409999999999998</v>
      </c>
      <c r="R266">
        <v>58.6</v>
      </c>
      <c r="S266">
        <v>0.74429999999999996</v>
      </c>
      <c r="T266">
        <v>0.74299999999999999</v>
      </c>
    </row>
    <row r="267" spans="1:20">
      <c r="A267" t="s">
        <v>520</v>
      </c>
      <c r="N267">
        <v>26.5</v>
      </c>
      <c r="O267">
        <v>0.89510000000000001</v>
      </c>
      <c r="Q267">
        <v>0.74450000000000005</v>
      </c>
      <c r="R267">
        <v>58.5</v>
      </c>
      <c r="S267">
        <v>0.74470000000000003</v>
      </c>
      <c r="T267">
        <v>0.74339999999999995</v>
      </c>
    </row>
    <row r="268" spans="1:20">
      <c r="A268" t="s">
        <v>521</v>
      </c>
      <c r="N268">
        <v>26.6</v>
      </c>
      <c r="O268">
        <v>0.89449999999999996</v>
      </c>
      <c r="Q268">
        <v>0.74490000000000001</v>
      </c>
      <c r="R268">
        <v>58.4</v>
      </c>
      <c r="S268">
        <v>0.74509999999999998</v>
      </c>
      <c r="T268">
        <v>0.74380000000000002</v>
      </c>
    </row>
    <row r="269" spans="1:20">
      <c r="A269" t="s">
        <v>522</v>
      </c>
      <c r="N269">
        <v>26.7</v>
      </c>
      <c r="O269">
        <v>0.89390000000000003</v>
      </c>
      <c r="Q269">
        <v>0.74529999999999996</v>
      </c>
      <c r="R269">
        <v>58.3</v>
      </c>
      <c r="S269">
        <v>0.74550000000000005</v>
      </c>
      <c r="T269">
        <v>0.74419999999999997</v>
      </c>
    </row>
    <row r="270" spans="1:20">
      <c r="A270" t="s">
        <v>523</v>
      </c>
      <c r="N270">
        <v>26.8</v>
      </c>
      <c r="O270">
        <v>0.89339999999999997</v>
      </c>
      <c r="Q270">
        <v>0.74570000000000003</v>
      </c>
      <c r="R270">
        <v>58.2</v>
      </c>
      <c r="S270">
        <v>0.74590000000000001</v>
      </c>
      <c r="T270">
        <v>0.74460000000000004</v>
      </c>
    </row>
    <row r="271" spans="1:20">
      <c r="A271" t="s">
        <v>514</v>
      </c>
      <c r="N271">
        <v>26.9</v>
      </c>
      <c r="O271">
        <v>0.89280000000000004</v>
      </c>
      <c r="Q271">
        <v>0.74609999999999999</v>
      </c>
      <c r="R271">
        <v>58.1</v>
      </c>
      <c r="S271">
        <v>0.74629999999999996</v>
      </c>
      <c r="T271">
        <v>0.745</v>
      </c>
    </row>
    <row r="272" spans="1:20">
      <c r="A272" t="s">
        <v>515</v>
      </c>
      <c r="N272">
        <v>27</v>
      </c>
      <c r="O272">
        <v>0.89219999999999999</v>
      </c>
      <c r="Q272">
        <v>0.74650000000000005</v>
      </c>
      <c r="R272">
        <v>58</v>
      </c>
      <c r="S272">
        <v>0.74670000000000003</v>
      </c>
      <c r="T272">
        <v>0.74539999999999995</v>
      </c>
    </row>
    <row r="273" spans="1:20">
      <c r="A273" t="s">
        <v>516</v>
      </c>
      <c r="N273">
        <v>27.1</v>
      </c>
      <c r="O273">
        <v>0.89170000000000005</v>
      </c>
      <c r="Q273">
        <v>0.74690000000000001</v>
      </c>
      <c r="R273">
        <v>57.9</v>
      </c>
      <c r="S273">
        <v>0.74709999999999999</v>
      </c>
      <c r="T273">
        <v>0.74580000000000002</v>
      </c>
    </row>
    <row r="274" spans="1:20">
      <c r="A274" t="s">
        <v>517</v>
      </c>
      <c r="N274">
        <v>27.2</v>
      </c>
      <c r="O274">
        <v>0.8911</v>
      </c>
      <c r="Q274">
        <v>0.74729999999999996</v>
      </c>
      <c r="R274">
        <v>57.8</v>
      </c>
      <c r="S274">
        <v>0.74750000000000005</v>
      </c>
      <c r="T274">
        <v>0.74619999999999997</v>
      </c>
    </row>
    <row r="275" spans="1:20">
      <c r="A275" t="s">
        <v>518</v>
      </c>
      <c r="N275">
        <v>27.3</v>
      </c>
      <c r="O275">
        <v>0.89059999999999995</v>
      </c>
      <c r="Q275">
        <v>0.74760000000000004</v>
      </c>
      <c r="R275">
        <v>57.7</v>
      </c>
      <c r="S275">
        <v>0.74790000000000001</v>
      </c>
      <c r="T275">
        <v>0.74650000000000005</v>
      </c>
    </row>
    <row r="276" spans="1:20">
      <c r="A276" t="s">
        <v>519</v>
      </c>
      <c r="N276">
        <v>27.4</v>
      </c>
      <c r="O276">
        <v>0.89</v>
      </c>
      <c r="Q276">
        <v>0.748</v>
      </c>
      <c r="R276">
        <v>57.6</v>
      </c>
      <c r="S276">
        <v>0.74829999999999997</v>
      </c>
      <c r="T276">
        <v>0.74690000000000001</v>
      </c>
    </row>
    <row r="277" spans="1:20">
      <c r="A277" t="s">
        <v>520</v>
      </c>
      <c r="N277">
        <v>27.5</v>
      </c>
      <c r="O277">
        <v>0.88939999999999997</v>
      </c>
      <c r="Q277">
        <v>0.74839999999999995</v>
      </c>
      <c r="R277">
        <v>57.5</v>
      </c>
      <c r="S277">
        <v>0.74870000000000003</v>
      </c>
      <c r="T277">
        <v>0.74729999999999996</v>
      </c>
    </row>
    <row r="278" spans="1:20">
      <c r="A278" t="s">
        <v>521</v>
      </c>
      <c r="N278">
        <v>27.6</v>
      </c>
      <c r="O278">
        <v>0.88890000000000002</v>
      </c>
      <c r="Q278">
        <v>0.74880000000000002</v>
      </c>
      <c r="R278">
        <v>57.4</v>
      </c>
      <c r="S278">
        <v>0.74909999999999999</v>
      </c>
      <c r="T278">
        <v>0.74770000000000003</v>
      </c>
    </row>
    <row r="279" spans="1:20">
      <c r="A279" t="s">
        <v>522</v>
      </c>
      <c r="N279">
        <v>27.7</v>
      </c>
      <c r="O279">
        <v>0.88829999999999998</v>
      </c>
      <c r="Q279">
        <v>0.74919999999999998</v>
      </c>
      <c r="R279">
        <v>57.3</v>
      </c>
      <c r="S279">
        <v>0.74950000000000006</v>
      </c>
      <c r="T279">
        <v>0.74809999999999999</v>
      </c>
    </row>
    <row r="280" spans="1:20">
      <c r="A280" t="s">
        <v>523</v>
      </c>
      <c r="N280">
        <v>27.8</v>
      </c>
      <c r="O280">
        <v>0.88780000000000003</v>
      </c>
      <c r="Q280">
        <v>0.74960000000000004</v>
      </c>
      <c r="R280">
        <v>57.2</v>
      </c>
      <c r="S280">
        <v>0.74990000000000001</v>
      </c>
      <c r="T280">
        <v>0.74850000000000005</v>
      </c>
    </row>
    <row r="281" spans="1:20">
      <c r="A281" t="s">
        <v>524</v>
      </c>
      <c r="N281">
        <v>27.9</v>
      </c>
      <c r="O281">
        <v>0.88719999999999999</v>
      </c>
      <c r="Q281">
        <v>0.75</v>
      </c>
      <c r="R281">
        <v>57.1</v>
      </c>
      <c r="S281">
        <v>0.75029999999999997</v>
      </c>
      <c r="T281">
        <v>0.74890000000000001</v>
      </c>
    </row>
    <row r="282" spans="1:20">
      <c r="A282" t="s">
        <v>525</v>
      </c>
      <c r="N282">
        <v>28</v>
      </c>
      <c r="O282">
        <v>0.88670000000000004</v>
      </c>
      <c r="Q282">
        <v>0.75039999999999996</v>
      </c>
      <c r="R282">
        <v>57</v>
      </c>
      <c r="S282">
        <v>0.75070000000000003</v>
      </c>
      <c r="T282">
        <v>0.74929999999999997</v>
      </c>
    </row>
    <row r="283" spans="1:20">
      <c r="A283" t="s">
        <v>526</v>
      </c>
      <c r="N283">
        <v>28.1</v>
      </c>
      <c r="O283">
        <v>0.8861</v>
      </c>
      <c r="Q283">
        <v>0.75080000000000002</v>
      </c>
      <c r="R283">
        <v>56.9</v>
      </c>
      <c r="S283">
        <v>0.75109999999999999</v>
      </c>
      <c r="T283">
        <v>0.74970000000000003</v>
      </c>
    </row>
    <row r="284" spans="1:20">
      <c r="A284" t="s">
        <v>527</v>
      </c>
      <c r="N284">
        <v>28.2</v>
      </c>
      <c r="O284">
        <v>0.88549999999999995</v>
      </c>
      <c r="Q284">
        <v>0.75119999999999998</v>
      </c>
      <c r="R284">
        <v>56.8</v>
      </c>
      <c r="S284">
        <v>0.75149999999999995</v>
      </c>
      <c r="T284">
        <v>0.75009999999999999</v>
      </c>
    </row>
    <row r="285" spans="1:20">
      <c r="A285" t="s">
        <v>528</v>
      </c>
      <c r="N285">
        <v>28.3</v>
      </c>
      <c r="O285">
        <v>0.88500000000000001</v>
      </c>
      <c r="Q285">
        <v>0.75160000000000005</v>
      </c>
      <c r="R285">
        <v>56.7</v>
      </c>
      <c r="S285">
        <v>0.75190000000000001</v>
      </c>
      <c r="T285">
        <v>0.75049999999999994</v>
      </c>
    </row>
    <row r="286" spans="1:20">
      <c r="A286" t="s">
        <v>529</v>
      </c>
      <c r="N286">
        <v>28.4</v>
      </c>
      <c r="O286">
        <v>0.88439999999999996</v>
      </c>
      <c r="Q286">
        <v>0.752</v>
      </c>
      <c r="R286">
        <v>56.6</v>
      </c>
      <c r="S286">
        <v>0.75229999999999997</v>
      </c>
      <c r="T286">
        <v>0.75090000000000001</v>
      </c>
    </row>
    <row r="287" spans="1:20">
      <c r="A287" t="s">
        <v>530</v>
      </c>
      <c r="N287">
        <v>28.5</v>
      </c>
      <c r="O287">
        <v>0.88390000000000002</v>
      </c>
      <c r="Q287">
        <v>0.75239999999999996</v>
      </c>
      <c r="R287">
        <v>56.5</v>
      </c>
      <c r="S287">
        <v>0.75270000000000004</v>
      </c>
      <c r="T287">
        <v>0.75129999999999997</v>
      </c>
    </row>
    <row r="288" spans="1:20">
      <c r="A288" t="s">
        <v>531</v>
      </c>
      <c r="N288">
        <v>28.6</v>
      </c>
      <c r="O288">
        <v>0.88329999999999997</v>
      </c>
      <c r="Q288">
        <v>0.75280000000000002</v>
      </c>
      <c r="R288">
        <v>56.4</v>
      </c>
      <c r="S288">
        <v>0.75309999999999999</v>
      </c>
      <c r="T288">
        <v>0.75170000000000003</v>
      </c>
    </row>
    <row r="289" spans="1:20">
      <c r="A289" t="s">
        <v>532</v>
      </c>
      <c r="N289">
        <v>28.7</v>
      </c>
      <c r="O289">
        <v>0.88280000000000003</v>
      </c>
      <c r="Q289">
        <v>0.75319999999999998</v>
      </c>
      <c r="R289">
        <v>56.3</v>
      </c>
      <c r="S289">
        <v>0.75349999999999995</v>
      </c>
      <c r="T289">
        <v>0.75209999999999999</v>
      </c>
    </row>
    <row r="290" spans="1:20">
      <c r="A290" t="s">
        <v>533</v>
      </c>
      <c r="N290">
        <v>28.8</v>
      </c>
      <c r="O290">
        <v>0.88219999999999998</v>
      </c>
      <c r="Q290">
        <v>0.75360000000000005</v>
      </c>
      <c r="R290">
        <v>56.2</v>
      </c>
      <c r="S290">
        <v>0.75390000000000001</v>
      </c>
      <c r="T290">
        <v>0.75249999999999995</v>
      </c>
    </row>
    <row r="291" spans="1:20">
      <c r="A291" t="s">
        <v>534</v>
      </c>
      <c r="N291">
        <v>28.9</v>
      </c>
      <c r="O291">
        <v>0.88170000000000004</v>
      </c>
      <c r="Q291">
        <v>0.754</v>
      </c>
      <c r="R291">
        <v>56.1</v>
      </c>
      <c r="S291">
        <v>0.75429999999999997</v>
      </c>
      <c r="T291">
        <v>0.75290000000000001</v>
      </c>
    </row>
    <row r="292" spans="1:20">
      <c r="A292" t="s">
        <v>535</v>
      </c>
      <c r="N292">
        <v>29</v>
      </c>
      <c r="O292">
        <v>0.88109999999999999</v>
      </c>
      <c r="Q292">
        <v>0.75439999999999996</v>
      </c>
      <c r="R292">
        <v>56</v>
      </c>
      <c r="S292">
        <v>0.75470000000000004</v>
      </c>
      <c r="T292">
        <v>0.75329999999999997</v>
      </c>
    </row>
    <row r="293" spans="1:20">
      <c r="A293" t="s">
        <v>536</v>
      </c>
      <c r="N293">
        <v>29.1</v>
      </c>
      <c r="O293">
        <v>0.88060000000000005</v>
      </c>
      <c r="Q293">
        <v>0.75480000000000003</v>
      </c>
      <c r="R293">
        <v>55.9</v>
      </c>
      <c r="S293">
        <v>0.75509999999999999</v>
      </c>
      <c r="T293">
        <v>0.75370000000000004</v>
      </c>
    </row>
    <row r="294" spans="1:20">
      <c r="A294" t="s">
        <v>537</v>
      </c>
      <c r="N294">
        <v>29.2</v>
      </c>
      <c r="O294">
        <v>0.88</v>
      </c>
      <c r="Q294">
        <v>0.75519999999999998</v>
      </c>
      <c r="R294">
        <v>55.8</v>
      </c>
      <c r="S294">
        <v>0.75549999999999995</v>
      </c>
      <c r="T294">
        <v>0.75409999999999999</v>
      </c>
    </row>
    <row r="295" spans="1:20">
      <c r="A295" t="s">
        <v>538</v>
      </c>
      <c r="N295">
        <v>29.3</v>
      </c>
      <c r="O295">
        <v>0.87949999999999995</v>
      </c>
      <c r="Q295">
        <v>0.75560000000000005</v>
      </c>
      <c r="R295">
        <v>55.7</v>
      </c>
      <c r="S295">
        <v>0.75590000000000002</v>
      </c>
      <c r="T295">
        <v>0.75449999999999995</v>
      </c>
    </row>
    <row r="296" spans="1:20">
      <c r="A296" t="s">
        <v>539</v>
      </c>
      <c r="N296">
        <v>29.4</v>
      </c>
      <c r="O296">
        <v>0.87890000000000001</v>
      </c>
      <c r="Q296">
        <v>0.75600000000000001</v>
      </c>
      <c r="R296">
        <v>55.6</v>
      </c>
      <c r="S296">
        <v>0.75629999999999997</v>
      </c>
      <c r="T296">
        <v>0.75490000000000002</v>
      </c>
    </row>
    <row r="297" spans="1:20">
      <c r="A297" t="s">
        <v>540</v>
      </c>
      <c r="N297">
        <v>29.5</v>
      </c>
      <c r="O297">
        <v>0.87839999999999996</v>
      </c>
      <c r="Q297">
        <v>0.75639999999999996</v>
      </c>
      <c r="R297">
        <v>55.5</v>
      </c>
      <c r="S297">
        <v>0.75670000000000004</v>
      </c>
      <c r="T297">
        <v>0.75529999999999997</v>
      </c>
    </row>
    <row r="298" spans="1:20">
      <c r="A298" t="s">
        <v>541</v>
      </c>
      <c r="N298">
        <v>29.6</v>
      </c>
      <c r="O298">
        <v>0.87790000000000001</v>
      </c>
      <c r="Q298">
        <v>0.75680000000000003</v>
      </c>
      <c r="R298">
        <v>55.4</v>
      </c>
      <c r="S298">
        <v>0.7571</v>
      </c>
      <c r="T298">
        <v>0.75570000000000004</v>
      </c>
    </row>
    <row r="299" spans="1:20">
      <c r="A299" t="s">
        <v>542</v>
      </c>
      <c r="N299">
        <v>29.7</v>
      </c>
      <c r="O299">
        <v>0.87729999999999997</v>
      </c>
      <c r="Q299">
        <v>0.75719999999999998</v>
      </c>
      <c r="R299">
        <v>55.3</v>
      </c>
      <c r="S299">
        <v>0.75749999999999995</v>
      </c>
      <c r="T299">
        <v>0.75609999999999999</v>
      </c>
    </row>
    <row r="300" spans="1:20">
      <c r="A300" t="s">
        <v>543</v>
      </c>
      <c r="N300">
        <v>29.8</v>
      </c>
      <c r="O300">
        <v>0.87680000000000002</v>
      </c>
      <c r="Q300">
        <v>0.75760000000000005</v>
      </c>
      <c r="R300">
        <v>55.2</v>
      </c>
      <c r="S300">
        <v>0.75790000000000002</v>
      </c>
      <c r="T300">
        <v>0.75649999999999995</v>
      </c>
    </row>
    <row r="301" spans="1:20">
      <c r="A301" t="s">
        <v>544</v>
      </c>
      <c r="N301">
        <v>29.9</v>
      </c>
      <c r="O301">
        <v>0.87619999999999998</v>
      </c>
      <c r="Q301">
        <v>0.7581</v>
      </c>
      <c r="R301">
        <v>55.1</v>
      </c>
      <c r="S301">
        <v>0.75829999999999997</v>
      </c>
      <c r="T301">
        <v>0.75700000000000001</v>
      </c>
    </row>
    <row r="302" spans="1:20">
      <c r="A302" t="s">
        <v>545</v>
      </c>
      <c r="N302">
        <v>30</v>
      </c>
      <c r="O302">
        <v>0.87570000000000003</v>
      </c>
      <c r="Q302">
        <v>0.75849999999999995</v>
      </c>
      <c r="R302">
        <v>55</v>
      </c>
      <c r="S302">
        <v>0.75870000000000004</v>
      </c>
      <c r="T302">
        <v>0.75739999999999996</v>
      </c>
    </row>
    <row r="303" spans="1:20">
      <c r="A303" t="s">
        <v>546</v>
      </c>
      <c r="N303">
        <v>30.1</v>
      </c>
      <c r="O303">
        <v>0.87509999999999999</v>
      </c>
      <c r="Q303">
        <v>0.75890000000000002</v>
      </c>
      <c r="R303">
        <v>54.9</v>
      </c>
      <c r="S303">
        <v>0.7591</v>
      </c>
      <c r="T303">
        <v>0.75780000000000003</v>
      </c>
    </row>
    <row r="304" spans="1:20">
      <c r="A304" t="s">
        <v>547</v>
      </c>
      <c r="N304">
        <v>30.2</v>
      </c>
      <c r="O304">
        <v>0.87460000000000004</v>
      </c>
      <c r="Q304">
        <v>0.75929999999999997</v>
      </c>
      <c r="R304">
        <v>54.8</v>
      </c>
      <c r="S304">
        <v>0.75949999999999995</v>
      </c>
      <c r="T304">
        <v>0.75819999999999999</v>
      </c>
    </row>
    <row r="305" spans="1:20">
      <c r="A305" t="s">
        <v>548</v>
      </c>
      <c r="N305">
        <v>30.3</v>
      </c>
      <c r="O305">
        <v>0.87409999999999999</v>
      </c>
      <c r="Q305">
        <v>0.75970000000000004</v>
      </c>
      <c r="R305">
        <v>54.7</v>
      </c>
      <c r="S305">
        <v>0.75990000000000002</v>
      </c>
      <c r="T305">
        <v>0.75860000000000005</v>
      </c>
    </row>
    <row r="306" spans="1:20">
      <c r="A306" t="s">
        <v>549</v>
      </c>
      <c r="N306">
        <v>30.4</v>
      </c>
      <c r="O306">
        <v>0.87350000000000005</v>
      </c>
      <c r="Q306">
        <v>0.7601</v>
      </c>
      <c r="R306">
        <v>54.6</v>
      </c>
      <c r="S306">
        <v>0.76029999999999998</v>
      </c>
      <c r="T306">
        <v>0.75900000000000001</v>
      </c>
    </row>
    <row r="307" spans="1:20">
      <c r="A307" t="s">
        <v>550</v>
      </c>
      <c r="N307">
        <v>30.5</v>
      </c>
      <c r="O307">
        <v>0.873</v>
      </c>
      <c r="Q307">
        <v>0.76049999999999995</v>
      </c>
      <c r="R307">
        <v>54.5</v>
      </c>
      <c r="S307">
        <v>0.76080000000000003</v>
      </c>
      <c r="T307">
        <v>0.75939999999999996</v>
      </c>
    </row>
    <row r="308" spans="1:20">
      <c r="A308" t="s">
        <v>551</v>
      </c>
      <c r="N308">
        <v>30.6</v>
      </c>
      <c r="O308">
        <v>0.87239999999999995</v>
      </c>
      <c r="Q308">
        <v>0.76090000000000002</v>
      </c>
      <c r="R308">
        <v>54.4</v>
      </c>
      <c r="S308">
        <v>0.76119999999999999</v>
      </c>
      <c r="T308">
        <v>0.75980000000000003</v>
      </c>
    </row>
    <row r="309" spans="1:20">
      <c r="A309" t="s">
        <v>552</v>
      </c>
      <c r="N309">
        <v>30.7</v>
      </c>
      <c r="O309">
        <v>0.87190000000000001</v>
      </c>
      <c r="Q309">
        <v>0.76129999999999998</v>
      </c>
      <c r="R309">
        <v>54.3</v>
      </c>
      <c r="S309">
        <v>0.76160000000000005</v>
      </c>
      <c r="T309">
        <v>0.76019999999999999</v>
      </c>
    </row>
    <row r="310" spans="1:20">
      <c r="A310" t="s">
        <v>553</v>
      </c>
      <c r="N310">
        <v>30.8</v>
      </c>
      <c r="O310">
        <v>0.87139999999999995</v>
      </c>
      <c r="Q310">
        <v>0.76170000000000004</v>
      </c>
      <c r="R310">
        <v>54.2</v>
      </c>
      <c r="S310">
        <v>0.76200000000000001</v>
      </c>
      <c r="T310">
        <v>0.76060000000000005</v>
      </c>
    </row>
    <row r="311" spans="1:20">
      <c r="A311" t="s">
        <v>554</v>
      </c>
      <c r="N311">
        <v>30.9</v>
      </c>
      <c r="O311">
        <v>0.87080000000000002</v>
      </c>
      <c r="Q311">
        <v>0.7621</v>
      </c>
      <c r="R311">
        <v>54.1</v>
      </c>
      <c r="S311">
        <v>0.76239999999999997</v>
      </c>
      <c r="T311">
        <v>0.76100000000000001</v>
      </c>
    </row>
    <row r="312" spans="1:20">
      <c r="A312" t="s">
        <v>555</v>
      </c>
      <c r="N312">
        <v>31</v>
      </c>
      <c r="O312">
        <v>0.87029999999999996</v>
      </c>
      <c r="Q312">
        <v>0.76249999999999996</v>
      </c>
      <c r="R312">
        <v>54</v>
      </c>
      <c r="S312">
        <v>0.76280000000000003</v>
      </c>
      <c r="T312">
        <v>0.76139999999999997</v>
      </c>
    </row>
    <row r="313" spans="1:20">
      <c r="A313" t="s">
        <v>556</v>
      </c>
      <c r="N313">
        <v>31.1</v>
      </c>
      <c r="O313">
        <v>0.86980000000000002</v>
      </c>
      <c r="Q313">
        <v>0.76300000000000001</v>
      </c>
      <c r="R313">
        <v>53.9</v>
      </c>
      <c r="S313">
        <v>0.76319999999999999</v>
      </c>
      <c r="T313">
        <v>0.76190000000000002</v>
      </c>
    </row>
    <row r="314" spans="1:20">
      <c r="A314" t="s">
        <v>557</v>
      </c>
      <c r="N314">
        <v>31.2</v>
      </c>
      <c r="O314">
        <v>0.86919999999999997</v>
      </c>
      <c r="Q314">
        <v>0.76339999999999997</v>
      </c>
      <c r="R314">
        <v>53.8</v>
      </c>
      <c r="S314">
        <v>0.76359999999999995</v>
      </c>
      <c r="T314">
        <v>0.76229999999999998</v>
      </c>
    </row>
    <row r="315" spans="1:20">
      <c r="A315" t="s">
        <v>558</v>
      </c>
      <c r="N315">
        <v>31.3</v>
      </c>
      <c r="O315">
        <v>0.86870000000000003</v>
      </c>
      <c r="Q315">
        <v>0.76380000000000003</v>
      </c>
      <c r="R315">
        <v>53.7</v>
      </c>
      <c r="S315">
        <v>0.76400000000000001</v>
      </c>
      <c r="T315">
        <v>0.76270000000000004</v>
      </c>
    </row>
    <row r="316" spans="1:20">
      <c r="A316" t="s">
        <v>559</v>
      </c>
      <c r="N316">
        <v>31.4</v>
      </c>
      <c r="O316">
        <v>0.86819999999999997</v>
      </c>
      <c r="Q316">
        <v>0.76419999999999999</v>
      </c>
      <c r="R316">
        <v>53.6</v>
      </c>
      <c r="S316">
        <v>0.76449999999999996</v>
      </c>
      <c r="T316">
        <v>0.7631</v>
      </c>
    </row>
    <row r="317" spans="1:20">
      <c r="A317" t="s">
        <v>560</v>
      </c>
      <c r="N317">
        <v>31.5</v>
      </c>
      <c r="O317">
        <v>0.86760000000000004</v>
      </c>
      <c r="Q317">
        <v>0.76459999999999995</v>
      </c>
      <c r="R317">
        <v>53.5</v>
      </c>
      <c r="S317">
        <v>0.76490000000000002</v>
      </c>
      <c r="T317">
        <v>0.76349999999999996</v>
      </c>
    </row>
    <row r="318" spans="1:20">
      <c r="A318" t="s">
        <v>561</v>
      </c>
      <c r="N318">
        <v>31.6</v>
      </c>
      <c r="O318">
        <v>0.86709999999999998</v>
      </c>
      <c r="Q318">
        <v>0.76500000000000001</v>
      </c>
      <c r="R318">
        <v>53.4</v>
      </c>
      <c r="S318">
        <v>0.76529999999999998</v>
      </c>
      <c r="T318">
        <v>0.76390000000000002</v>
      </c>
    </row>
    <row r="319" spans="1:20">
      <c r="A319" t="s">
        <v>562</v>
      </c>
      <c r="N319">
        <v>31.7</v>
      </c>
      <c r="O319">
        <v>0.86660000000000004</v>
      </c>
      <c r="Q319">
        <v>0.76539999999999997</v>
      </c>
      <c r="R319">
        <v>53.3</v>
      </c>
      <c r="S319">
        <v>0.76570000000000005</v>
      </c>
      <c r="T319">
        <v>0.76429999999999998</v>
      </c>
    </row>
    <row r="320" spans="1:20">
      <c r="A320" t="s">
        <v>563</v>
      </c>
      <c r="N320">
        <v>31.8</v>
      </c>
      <c r="O320">
        <v>0.86599999999999999</v>
      </c>
      <c r="Q320">
        <v>0.76580000000000004</v>
      </c>
      <c r="R320">
        <v>53.2</v>
      </c>
      <c r="S320">
        <v>0.7661</v>
      </c>
      <c r="T320">
        <v>0.76470000000000005</v>
      </c>
    </row>
    <row r="321" spans="1:20">
      <c r="A321" t="s">
        <v>564</v>
      </c>
      <c r="N321">
        <v>31.9</v>
      </c>
      <c r="O321">
        <v>0.86550000000000005</v>
      </c>
      <c r="Q321">
        <v>0.76629999999999998</v>
      </c>
      <c r="R321">
        <v>53.1</v>
      </c>
      <c r="S321">
        <v>0.76649999999999996</v>
      </c>
      <c r="T321">
        <v>0.76519999999999999</v>
      </c>
    </row>
    <row r="322" spans="1:20">
      <c r="A322" t="s">
        <v>565</v>
      </c>
      <c r="N322">
        <v>32</v>
      </c>
      <c r="O322">
        <v>0.86499999999999999</v>
      </c>
      <c r="Q322">
        <v>0.76670000000000005</v>
      </c>
      <c r="R322">
        <v>53</v>
      </c>
      <c r="S322">
        <v>0.76690000000000003</v>
      </c>
      <c r="T322">
        <v>0.76559999999999995</v>
      </c>
    </row>
    <row r="323" spans="1:20">
      <c r="A323" t="s">
        <v>566</v>
      </c>
      <c r="N323">
        <v>32.1</v>
      </c>
      <c r="O323">
        <v>0.86450000000000005</v>
      </c>
      <c r="Q323">
        <v>0.7671</v>
      </c>
      <c r="R323">
        <v>52.9</v>
      </c>
      <c r="S323">
        <v>0.76739999999999997</v>
      </c>
      <c r="T323">
        <v>0.76600000000000001</v>
      </c>
    </row>
    <row r="324" spans="1:20">
      <c r="A324" t="s">
        <v>567</v>
      </c>
      <c r="N324">
        <v>32.200000000000003</v>
      </c>
      <c r="O324">
        <v>0.8639</v>
      </c>
      <c r="Q324">
        <v>0.76749999999999996</v>
      </c>
      <c r="R324">
        <v>52.8</v>
      </c>
      <c r="S324">
        <v>0.76780000000000004</v>
      </c>
      <c r="T324">
        <v>0.76639999999999997</v>
      </c>
    </row>
    <row r="325" spans="1:20">
      <c r="A325" t="s">
        <v>568</v>
      </c>
      <c r="N325">
        <v>32.299999999999997</v>
      </c>
      <c r="O325">
        <v>0.86339999999999995</v>
      </c>
      <c r="Q325">
        <v>0.76790000000000003</v>
      </c>
      <c r="R325">
        <v>52.7</v>
      </c>
      <c r="S325">
        <v>0.76819999999999999</v>
      </c>
      <c r="T325">
        <v>0.76680000000000004</v>
      </c>
    </row>
    <row r="326" spans="1:20">
      <c r="A326" t="s">
        <v>569</v>
      </c>
      <c r="N326">
        <v>32.4</v>
      </c>
      <c r="O326">
        <v>0.8629</v>
      </c>
      <c r="Q326">
        <v>0.76829999999999998</v>
      </c>
      <c r="R326">
        <v>52.6</v>
      </c>
      <c r="S326">
        <v>0.76859999999999995</v>
      </c>
      <c r="T326">
        <v>0.76719999999999999</v>
      </c>
    </row>
    <row r="327" spans="1:20">
      <c r="A327" t="s">
        <v>570</v>
      </c>
      <c r="N327">
        <v>32.5</v>
      </c>
      <c r="O327">
        <v>0.86229999999999996</v>
      </c>
      <c r="Q327">
        <v>0.76880000000000004</v>
      </c>
      <c r="R327">
        <v>52.5</v>
      </c>
      <c r="S327">
        <v>0.76900000000000002</v>
      </c>
      <c r="T327">
        <v>0.76770000000000005</v>
      </c>
    </row>
    <row r="328" spans="1:20">
      <c r="A328" t="s">
        <v>571</v>
      </c>
      <c r="N328">
        <v>32.6</v>
      </c>
      <c r="O328">
        <v>0.86180000000000001</v>
      </c>
      <c r="Q328">
        <v>0.76919999999999999</v>
      </c>
      <c r="R328">
        <v>52.4</v>
      </c>
      <c r="S328">
        <v>0.76939999999999997</v>
      </c>
      <c r="T328">
        <v>0.7681</v>
      </c>
    </row>
    <row r="329" spans="1:20">
      <c r="A329" t="s">
        <v>572</v>
      </c>
      <c r="N329">
        <v>32.700000000000003</v>
      </c>
      <c r="O329">
        <v>0.86129999999999995</v>
      </c>
      <c r="Q329">
        <v>0.76959999999999995</v>
      </c>
      <c r="R329">
        <v>52.3</v>
      </c>
      <c r="S329">
        <v>0.76990000000000003</v>
      </c>
      <c r="T329">
        <v>0.76849999999999996</v>
      </c>
    </row>
    <row r="330" spans="1:20">
      <c r="A330" t="s">
        <v>573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541020</xdr:colOff>
                    <xdr:row>89</xdr:row>
                    <xdr:rowOff>160020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14</vt:i4>
      </vt:variant>
      <vt:variant>
        <vt:lpstr>이름 지정된 범위</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Kim, Kai (Yosu)</cp:lastModifiedBy>
  <cp:lastPrinted>2023-08-21T01:31:29Z</cp:lastPrinted>
  <dcterms:created xsi:type="dcterms:W3CDTF">2022-11-23T02:24:26Z</dcterms:created>
  <dcterms:modified xsi:type="dcterms:W3CDTF">2023-11-14T02:40:14Z</dcterms:modified>
</cp:coreProperties>
</file>