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kai_kim\Desktop\NAVARIK\NAVARIK 작업\20231104_Chevron (23C766116-01) STI GRAMERCY_JET_93KB_YOSU (N) 3\"/>
    </mc:Choice>
  </mc:AlternateContent>
  <xr:revisionPtr revIDLastSave="0" documentId="13_ncr:1_{FBF85637-A6A4-43F1-9B0A-914519550A5B}" xr6:coauthVersionLast="47" xr6:coauthVersionMax="47" xr10:uidLastSave="{00000000-0000-0000-0000-000000000000}"/>
  <bookViews>
    <workbookView xWindow="-12" yWindow="144" windowWidth="12588" windowHeight="11880" tabRatio="688" activeTab="3" xr2:uid="{D5438E65-0C1A-43C8-87E4-52658D7A1A13}"/>
  </bookViews>
  <sheets>
    <sheet name="Navarik 설정" sheetId="36" r:id="rId1"/>
    <sheet name="Time" sheetId="4"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<sst xmlns="http://schemas.openxmlformats.org/spreadsheetml/2006/main" count="1403" uniqueCount="876">
  <si>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</si>
  <si>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</si>
  <si>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</si>
  <si>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</si>
  <si>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</si>
  <si>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</si>
  <si>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</si>
  <si>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</si>
  <si>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</si>
  <si>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</si>
  <si>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</si>
  <si>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</si>
  <si>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</si>
  <si>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</si>
  <si>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</si>
  <si>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</si>
  <si>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</si>
  <si>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</si>
  <si>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</si>
  <si>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</si>
  <si>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</si>
  <si>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</si>
  <si>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</si>
  <si>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</si>
  <si>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</si>
  <si>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</si>
  <si>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</si>
  <si>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</si>
  <si>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</si>
  <si>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</si>
  <si>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</si>
  <si>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</si>
  <si>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</si>
  <si>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</si>
  <si>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</si>
  <si>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</si>
  <si>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</si>
  <si>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</si>
  <si>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</si>
  <si>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</si>
  <si>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</si>
  <si>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</si>
  <si>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</si>
  <si>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</si>
  <si>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</si>
  <si>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</si>
  <si>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</si>
  <si>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</si>
  <si>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</si>
  <si>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</si>
  <si>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</si>
  <si>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</si>
  <si>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</si>
  <si>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</si>
  <si>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</si>
  <si>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</si>
  <si>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</si>
  <si>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</si>
  <si>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</si>
  <si>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</si>
  <si>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</si>
  <si>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</si>
  <si>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</si>
  <si>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</si>
  <si>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</si>
  <si>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</si>
  <si>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</si>
  <si>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</si>
  <si>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</si>
  <si>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</si>
  <si>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</si>
  <si>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</si>
  <si>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</si>
  <si>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</si>
  <si>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</si>
  <si>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</si>
  <si>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</si>
  <si>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</si>
  <si>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</si>
  <si>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</si>
  <si>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</si>
  <si>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</si>
  <si>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</si>
  <si>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</si>
  <si>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</si>
  <si>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</si>
  <si>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</si>
  <si>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</si>
  <si>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</si>
  <si>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</si>
  <si>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</si>
  <si>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</si>
  <si>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</si>
  <si>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</si>
  <si>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</si>
  <si>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</si>
  <si>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</si>
  <si>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</si>
  <si>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</si>
  <si>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</si>
  <si>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</si>
  <si>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</si>
  <si>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</si>
  <si>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</si>
  <si>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</si>
  <si>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</si>
  <si>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</si>
  <si>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</si>
  <si>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</si>
  <si>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</si>
  <si>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</si>
  <si>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</si>
  <si>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</si>
  <si>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</si>
  <si>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</si>
  <si>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</si>
  <si>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</si>
  <si>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</si>
  <si>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</si>
  <si>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</si>
  <si>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</si>
  <si>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</si>
  <si>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</si>
  <si>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</si>
  <si>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</si>
  <si>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</si>
  <si>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</si>
  <si>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</si>
  <si>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</si>
  <si>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</si>
  <si>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</si>
  <si>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</si>
  <si>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</si>
  <si>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</si>
  <si>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</si>
  <si>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</si>
  <si>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</si>
  <si>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</si>
  <si>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</si>
  <si>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</si>
  <si>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</si>
  <si>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</si>
  <si>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</si>
  <si>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</si>
  <si>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</si>
  <si>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</si>
  <si>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</si>
  <si>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</si>
  <si>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</si>
  <si>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</si>
  <si>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</si>
  <si>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</si>
  <si>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</si>
  <si>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</si>
  <si>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</si>
  <si>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</si>
  <si>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</si>
  <si>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</si>
  <si>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</si>
  <si>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</si>
  <si>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</si>
  <si>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</si>
  <si>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</si>
  <si>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</si>
  <si>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</si>
  <si>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</si>
  <si>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</si>
  <si>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</si>
  <si>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</si>
  <si>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</si>
  <si>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</si>
  <si>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</si>
  <si>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</si>
  <si>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</si>
  <si>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</si>
  <si>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</si>
  <si>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</si>
  <si>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</si>
  <si>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</si>
  <si>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</si>
  <si>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</si>
  <si>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</si>
  <si>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</si>
  <si>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</si>
  <si>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</si>
  <si>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</si>
  <si>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</si>
  <si>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</si>
  <si>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</si>
  <si>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</si>
  <si>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</si>
  <si>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</si>
  <si>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</si>
  <si>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</si>
  <si>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</si>
  <si>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</si>
  <si>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</si>
  <si>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</si>
  <si>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</si>
  <si>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</si>
  <si>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</si>
  <si>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</si>
  <si>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</si>
  <si>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</si>
  <si>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</si>
  <si>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</si>
  <si>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</si>
  <si>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</si>
  <si>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</si>
  <si>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</si>
  <si>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</si>
  <si>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</si>
  <si>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</si>
  <si>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</si>
  <si>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</si>
  <si>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</si>
  <si>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</si>
  <si>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</si>
  <si>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</si>
  <si>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</si>
  <si>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</si>
  <si>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</si>
  <si>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</si>
  <si>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</si>
  <si>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</si>
  <si>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</si>
  <si>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</si>
  <si>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</si>
  <si>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</si>
  <si>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</si>
  <si>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</si>
  <si>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</si>
  <si>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</si>
  <si>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</si>
  <si>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</si>
  <si>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</si>
  <si>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</si>
  <si>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</si>
  <si>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</si>
  <si>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</si>
  <si>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</si>
  <si>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</si>
  <si>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</si>
  <si>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</si>
  <si>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</si>
  <si>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</si>
  <si>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</si>
  <si>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</si>
  <si>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</si>
  <si>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</si>
  <si>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</si>
  <si>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</si>
  <si>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</si>
  <si>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</si>
  <si>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</si>
  <si>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</si>
  <si>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</si>
  <si>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</si>
  <si>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</si>
  <si>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</si>
  <si>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</si>
  <si>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</si>
  <si>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</si>
  <si>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</si>
  <si>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</si>
  <si>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</si>
  <si>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</si>
  <si>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</si>
  <si>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</si>
  <si>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</si>
  <si>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</si>
  <si>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</si>
  <si>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</si>
  <si>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</si>
  <si>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</si>
  <si>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</si>
  <si>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</si>
  <si>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</si>
  <si>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</si>
  <si>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</si>
  <si>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</si>
  <si>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</si>
  <si>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</si>
  <si>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</si>
  <si>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</si>
  <si>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</si>
  <si>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</si>
  <si>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</si>
  <si>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</si>
  <si>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</si>
  <si>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</si>
  <si>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</si>
  <si>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</si>
  <si>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</si>
  <si>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</si>
  <si>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</si>
  <si>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</si>
  <si>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</si>
  <si>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</si>
  <si>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</si>
  <si>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</si>
  <si>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</si>
  <si>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</si>
  <si>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</si>
  <si>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</si>
  <si>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</si>
  <si>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</si>
  <si>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</si>
  <si>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</si>
  <si>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</si>
  <si>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</si>
  <si>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</si>
  <si>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</si>
  <si>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</si>
  <si>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</si>
  <si>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</si>
  <si>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</si>
  <si>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</si>
  <si>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</si>
  <si>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</si>
  <si>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</si>
  <si>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</si>
  <si>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</si>
  <si>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</si>
  <si>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</si>
  <si>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</si>
  <si>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</si>
  <si>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</si>
  <si>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</si>
  <si>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</si>
  <si>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</si>
  <si>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</si>
  <si>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</si>
  <si>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</si>
  <si>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</si>
  <si>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</si>
  <si>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</si>
  <si>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</si>
  <si>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</si>
  <si>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</si>
  <si>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</si>
  <si>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</si>
  <si>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</si>
  <si>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</si>
  <si>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</si>
  <si>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</si>
  <si>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</si>
  <si>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</si>
  <si>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</si>
  <si>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</si>
  <si>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</si>
  <si>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</si>
  <si>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</si>
  <si>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</si>
  <si>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</si>
  <si>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</si>
  <si>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</si>
  <si>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</si>
  <si>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</si>
  <si>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</si>
  <si>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</si>
  <si>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</si>
  <si>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</si>
  <si>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</si>
  <si>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</si>
  <si>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</si>
  <si>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</si>
  <si>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</si>
  <si>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</si>
  <si>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</si>
  <si>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</si>
  <si>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</si>
  <si>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</si>
  <si>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</si>
  <si>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</si>
  <si>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</si>
  <si>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</si>
  <si>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</si>
  <si>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</si>
  <si>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</si>
  <si>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</si>
  <si>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</si>
  <si>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</si>
  <si>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</si>
  <si>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</si>
  <si>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</si>
  <si>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</si>
  <si>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</si>
  <si>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</si>
  <si>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</si>
  <si>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</si>
  <si>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</si>
  <si>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</si>
  <si>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</si>
  <si>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</si>
  <si>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</si>
  <si>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</si>
  <si>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</si>
  <si>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</si>
  <si>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</si>
  <si>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</si>
  <si>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</si>
  <si>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</si>
  <si>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</si>
  <si>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</si>
  <si>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</si>
  <si>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</si>
  <si>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</si>
  <si>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</si>
  <si>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</si>
  <si>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</si>
  <si>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</si>
  <si>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</si>
  <si>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</si>
  <si>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</si>
  <si>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</si>
  <si>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</si>
  <si>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</si>
  <si>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</si>
  <si>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</si>
  <si>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</si>
  <si>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</si>
  <si>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</si>
  <si>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</si>
  <si>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</si>
  <si>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</si>
  <si>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</si>
  <si>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</si>
  <si>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</si>
  <si>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</si>
  <si>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</si>
  <si>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</si>
  <si>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</si>
  <si>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</si>
  <si>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</si>
  <si>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</si>
  <si>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</si>
  <si>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</si>
  <si>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</si>
  <si>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</si>
  <si>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</si>
  <si>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</si>
  <si>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</si>
  <si>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</si>
  <si>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</si>
  <si>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</si>
  <si>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</si>
  <si>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</si>
  <si>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</si>
  <si>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</si>
  <si>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</si>
  <si>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</si>
  <si>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</si>
  <si>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</si>
  <si>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</si>
  <si>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</si>
  <si>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</si>
  <si>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</si>
  <si>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</si>
  <si>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</si>
  <si>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</si>
  <si>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</si>
  <si>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</si>
  <si>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</si>
  <si>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</si>
  <si>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</si>
  <si>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</si>
  <si>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</si>
  <si>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</si>
  <si>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</si>
  <si>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</si>
  <si>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</si>
  <si>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</si>
  <si>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</si>
  <si>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</si>
  <si>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</si>
  <si>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</si>
  <si>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</si>
  <si>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</si>
  <si>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</si>
  <si>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</si>
  <si>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</si>
  <si>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</si>
  <si>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</si>
  <si>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</si>
  <si>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</si>
  <si>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</si>
  <si>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</si>
  <si>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</si>
  <si>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</si>
  <si>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</si>
  <si>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</si>
  <si>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</si>
  <si>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</si>
  <si>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</si>
  <si>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</si>
  <si>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</si>
  <si>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</si>
  <si>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</si>
  <si>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</si>
  <si>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</si>
  <si>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</si>
  <si>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</si>
  <si>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</si>
  <si>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</si>
  <si>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</si>
  <si>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</si>
  <si>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</si>
  <si>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</si>
  <si>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</si>
  <si>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</si>
  <si>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</si>
  <si>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</si>
  <si>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</si>
  <si>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</si>
  <si>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</si>
  <si>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</si>
  <si>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</si>
  <si>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</si>
  <si>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</si>
  <si>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</si>
  <si>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</si>
  <si>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</si>
  <si>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</si>
  <si>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</si>
  <si>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</si>
  <si>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</si>
  <si>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</si>
  <si>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</si>
  <si>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</si>
  <si>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</si>
  <si>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</si>
  <si>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</si>
  <si>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</si>
  <si>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</si>
  <si>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</si>
  <si>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</si>
  <si>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</si>
  <si>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</si>
  <si>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</si>
  <si>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</si>
  <si>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</si>
  <si>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</si>
  <si>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</si>
  <si>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</si>
  <si>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</si>
  <si>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</si>
  <si>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</si>
  <si>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</si>
  <si>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</si>
  <si>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</si>
  <si>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</si>
  <si>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</si>
  <si>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</si>
  <si>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</si>
  <si>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</si>
  <si>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</si>
  <si>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</si>
  <si>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</si>
  <si>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</si>
  <si>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</si>
  <si>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</si>
  <si>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</si>
  <si>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</si>
  <si>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</si>
  <si>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</si>
  <si>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</si>
  <si>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</si>
  <si>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</si>
  <si>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</si>
  <si>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</si>
  <si>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</si>
  <si>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</si>
  <si>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</si>
  <si>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</si>
  <si>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</si>
  <si>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</si>
  <si>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</si>
  <si>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</si>
  <si>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</si>
  <si>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</si>
  <si>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</si>
  <si>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</si>
  <si>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</si>
  <si>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</si>
  <si>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</si>
  <si>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</si>
  <si>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</si>
  <si>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</si>
  <si>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</si>
  <si>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</si>
  <si>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</si>
  <si>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</si>
  <si>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</si>
  <si>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</si>
  <si>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</si>
  <si>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</si>
  <si>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</si>
  <si>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</si>
  <si>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</si>
  <si>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</si>
  <si>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</si>
  <si>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</si>
  <si>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</si>
  <si>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</si>
  <si>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</si>
  <si>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</si>
  <si>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</si>
  <si>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</si>
  <si>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</si>
  <si>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</si>
  <si>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</si>
  <si>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</si>
  <si>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</si>
  <si>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</si>
  <si>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</si>
  <si>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</si>
  <si>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</si>
  <si>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</si>
  <si>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</si>
  <si>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</si>
  <si>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</si>
  <si>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</si>
  <si>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</si>
  <si>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</si>
  <si>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</si>
  <si>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</si>
  <si>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</si>
  <si>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</si>
  <si>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</si>
  <si>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</si>
  <si>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</si>
  <si>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</si>
  <si>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</si>
  <si>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</si>
  <si>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</si>
  <si>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</si>
  <si>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</si>
  <si>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</si>
  <si>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</si>
  <si>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</si>
  <si>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</si>
  <si>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</si>
  <si>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</si>
  <si>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</si>
  <si>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</si>
  <si>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</si>
  <si>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</si>
  <si>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</si>
  <si>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</si>
  <si>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</si>
  <si>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</si>
  <si>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</si>
  <si>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</si>
  <si>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</si>
  <si>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</si>
  <si>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</si>
  <si>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</si>
  <si>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</si>
  <si>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</si>
  <si>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</si>
  <si>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</si>
  <si>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</si>
  <si>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</si>
  <si>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</si>
  <si>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</si>
  <si>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</si>
  <si>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</si>
  <si>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</si>
  <si>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</si>
  <si>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</si>
  <si>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</si>
  <si>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</si>
  <si>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</si>
  <si>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</si>
  <si>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</si>
  <si>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</si>
  <si>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</si>
  <si>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</si>
  <si>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</si>
  <si>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</si>
  <si>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</si>
  <si>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</si>
  <si>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</si>
  <si>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</si>
  <si>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</si>
  <si>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</si>
  <si>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</si>
  <si>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</si>
  <si>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</si>
  <si>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</si>
  <si>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</si>
  <si>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</si>
  <si>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</si>
  <si>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</si>
  <si>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</si>
  <si>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</si>
  <si>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</si>
  <si>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23C766116-01</t>
  </si>
  <si>
    <t>STI GRAMERCY</t>
  </si>
  <si>
    <t>JET A-1</t>
  </si>
  <si>
    <t>여수</t>
    <phoneticPr fontId="1" type="noConversion"/>
  </si>
  <si>
    <t>Anchor Down</t>
  </si>
  <si>
    <t>Anchor Up</t>
  </si>
  <si>
    <t>Berthed, Allfast</t>
  </si>
  <si>
    <t>Commence Preliminary Inspection</t>
  </si>
  <si>
    <t>Commence Loading</t>
  </si>
  <si>
    <t>Commence Ballasting</t>
  </si>
  <si>
    <t>Commence Final Inspection</t>
  </si>
  <si>
    <t>Load JET A-1 - 93000 Barrels</t>
  </si>
  <si>
    <t>Load Unleaded Gasoline 92 - 70000 Barrels</t>
  </si>
  <si>
    <t>Load Unleaded Gasoline 90 - 110000 Barrels</t>
  </si>
  <si>
    <t>*</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</si>
  <si>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</si>
  <si>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</si>
  <si>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</si>
  <si>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</si>
  <si>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</si>
  <si>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</si>
  <si>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</si>
  <si>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</si>
  <si>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</si>
  <si>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</si>
  <si>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</si>
  <si>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</si>
  <si>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</si>
  <si>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</si>
  <si>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</si>
  <si>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</si>
  <si>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</si>
  <si>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</si>
  <si>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</si>
  <si>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</si>
  <si>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</si>
  <si>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</si>
  <si>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</si>
  <si>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</si>
  <si>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</si>
  <si>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</si>
  <si>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</si>
  <si>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</si>
  <si>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</si>
  <si>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</si>
  <si>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</si>
  <si>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</si>
  <si>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</si>
  <si>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</si>
  <si>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</si>
  <si>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</si>
  <si>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</si>
  <si>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</si>
  <si>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</si>
  <si>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</si>
  <si>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</si>
  <si>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</si>
  <si>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</si>
  <si>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</si>
  <si>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</si>
  <si>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Report only</t>
  </si>
  <si>
    <t>max = 1.0 (buy)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</si>
  <si>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</si>
  <si>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</si>
  <si>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</si>
  <si>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</si>
  <si>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</si>
  <si>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</si>
  <si>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</si>
  <si>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</si>
  <si>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</si>
  <si>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</si>
  <si>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</si>
  <si>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</si>
  <si>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</si>
  <si>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</si>
  <si>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</si>
  <si>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</si>
  <si>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</si>
  <si>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</si>
  <si>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</si>
  <si>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</si>
  <si>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</si>
  <si>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</si>
  <si>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</si>
  <si>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</si>
  <si>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</si>
  <si>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</si>
  <si>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</si>
  <si>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</si>
  <si>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</si>
  <si>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</si>
  <si>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</si>
  <si>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</si>
  <si>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</si>
  <si>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</si>
  <si>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</si>
  <si>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</si>
  <si>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</si>
  <si>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</si>
  <si>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</si>
  <si>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</si>
  <si>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</si>
  <si>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</si>
  <si>
    <t>[ASTM] D2386</t>
  </si>
  <si>
    <t>[ASTM] D445</t>
  </si>
  <si>
    <t>[ASTM] D1322</t>
  </si>
  <si>
    <t>[ASTM] D1840</t>
  </si>
  <si>
    <t>[ASTM] D3338</t>
  </si>
  <si>
    <t>[ASTM] D130</t>
  </si>
  <si>
    <t>[ASTM] D3241</t>
  </si>
  <si>
    <t>[IP] IP 540</t>
  </si>
  <si>
    <t>[ASTM] D3948</t>
  </si>
  <si>
    <t>[ASTM] D2624</t>
  </si>
  <si>
    <t>[ASTM] D5001</t>
  </si>
  <si>
    <t>* </t>
  </si>
  <si>
    <t>[OTHER] Visual</t>
  </si>
  <si>
    <t>[ASTM] D156</t>
  </si>
  <si>
    <t>[ASTM] D5452 Appendix X1</t>
  </si>
  <si>
    <t>[IP] IP 565</t>
  </si>
  <si>
    <t>[ASTM] D3242</t>
  </si>
  <si>
    <t>[ASTM] D6379</t>
  </si>
  <si>
    <t>[ASTM] D3227</t>
  </si>
  <si>
    <t>[OTHER] Calculation</t>
  </si>
  <si>
    <t>[OTHER] Not Listed</t>
  </si>
  <si>
    <t>[ASTM] D86</t>
  </si>
  <si>
    <t>[ASTM] D4052</t>
  </si>
  <si>
    <t>pass</t>
    <phoneticPr fontId="1" type="noConversion"/>
  </si>
  <si>
    <t>+29</t>
    <phoneticPr fontId="1" type="noConversion"/>
  </si>
  <si>
    <t>0.24</t>
    <phoneticPr fontId="1" type="noConversion"/>
  </si>
  <si>
    <t>192.9</t>
    <phoneticPr fontId="1" type="noConversion"/>
  </si>
  <si>
    <t>39.4</t>
    <phoneticPr fontId="1" type="noConversion"/>
  </si>
  <si>
    <t>3.5</t>
    <phoneticPr fontId="1" type="noConversion"/>
  </si>
  <si>
    <t>0.9</t>
    <phoneticPr fontId="1" type="noConversion"/>
  </si>
  <si>
    <t>0.4</t>
    <phoneticPr fontId="1" type="noConversion"/>
  </si>
  <si>
    <t>0.1</t>
    <phoneticPr fontId="1" type="noConversion"/>
  </si>
  <si>
    <t>0.002</t>
    <phoneticPr fontId="1" type="noConversion"/>
  </si>
  <si>
    <t>NA</t>
    <phoneticPr fontId="1" type="noConversion"/>
  </si>
  <si>
    <t>17.5</t>
    <phoneticPr fontId="1" type="noConversion"/>
  </si>
  <si>
    <t>0.154</t>
    <phoneticPr fontId="1" type="noConversion"/>
  </si>
  <si>
    <t>0.0006</t>
    <phoneticPr fontId="1" type="noConversion"/>
  </si>
  <si>
    <t>80</t>
    <phoneticPr fontId="1" type="noConversion"/>
  </si>
  <si>
    <t>0</t>
    <phoneticPr fontId="1" type="noConversion"/>
  </si>
  <si>
    <t>148.0</t>
    <phoneticPr fontId="1" type="noConversion"/>
  </si>
  <si>
    <t>167.0</t>
    <phoneticPr fontId="1" type="noConversion"/>
  </si>
  <si>
    <t>194.0</t>
    <phoneticPr fontId="1" type="noConversion"/>
  </si>
  <si>
    <t>241.0</t>
    <phoneticPr fontId="1" type="noConversion"/>
  </si>
  <si>
    <t>265.0</t>
    <phoneticPr fontId="1" type="noConversion"/>
  </si>
  <si>
    <t>1.3</t>
    <phoneticPr fontId="1" type="noConversion"/>
  </si>
  <si>
    <t>0.8</t>
    <phoneticPr fontId="1" type="noConversion"/>
  </si>
  <si>
    <t>40.0</t>
    <phoneticPr fontId="1" type="noConversion"/>
  </si>
  <si>
    <t>791.3</t>
    <phoneticPr fontId="1" type="noConversion"/>
  </si>
  <si>
    <t>-48.5</t>
    <phoneticPr fontId="1" type="noConversion"/>
  </si>
  <si>
    <t>3.548</t>
    <phoneticPr fontId="1" type="noConversion"/>
  </si>
  <si>
    <t>25.2</t>
    <phoneticPr fontId="1" type="noConversion"/>
  </si>
  <si>
    <t>1.17</t>
    <phoneticPr fontId="1" type="noConversion"/>
  </si>
  <si>
    <t>43.331</t>
    <phoneticPr fontId="1" type="noConversion"/>
  </si>
  <si>
    <t>1</t>
    <phoneticPr fontId="1" type="noConversion"/>
  </si>
  <si>
    <t>&lt;</t>
  </si>
  <si>
    <t>260</t>
    <phoneticPr fontId="1" type="noConversion"/>
  </si>
  <si>
    <t>98</t>
    <phoneticPr fontId="1" type="noConversion"/>
  </si>
  <si>
    <t>N/A</t>
    <phoneticPr fontId="1" type="noConversion"/>
  </si>
  <si>
    <t>WITH SDA</t>
    <phoneticPr fontId="1" type="noConversion"/>
  </si>
  <si>
    <t>WITHOUT SDA</t>
    <phoneticPr fontId="1" type="noConversion"/>
  </si>
  <si>
    <t>4.5</t>
    <phoneticPr fontId="1" type="noConversion"/>
  </si>
  <si>
    <t>ASTM D56</t>
    <phoneticPr fontId="1" type="noConversion"/>
  </si>
  <si>
    <t>ASTM D4294</t>
    <phoneticPr fontId="1" type="noConversion"/>
  </si>
  <si>
    <t>IP 585</t>
    <phoneticPr fontId="1" type="noConversion"/>
  </si>
  <si>
    <t>YL23-20024194</t>
    <phoneticPr fontId="1" type="noConversion"/>
  </si>
  <si>
    <t>Kai Kim</t>
    <phoneticPr fontId="1" type="noConversion"/>
  </si>
  <si>
    <t>GS CALTEX</t>
    <phoneticPr fontId="1" type="noConversion"/>
  </si>
  <si>
    <t>6B</t>
  </si>
  <si>
    <t>20D-207</t>
    <phoneticPr fontId="1" type="noConversion"/>
  </si>
  <si>
    <t>v</t>
  </si>
  <si>
    <t>[IP] IP 170</t>
  </si>
  <si>
    <t>[ASTM] D1319</t>
  </si>
  <si>
    <t>[IP] IP 336</t>
  </si>
  <si>
    <t>[IP] IP 585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</si>
</sst>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12" zoomScaleNormal="100" workbookViewId="0">
      <selection activeCell="C6" sqref="C6"/>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701</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Yes</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45241</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45057</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45333</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1</v>
      </c>
      <c r="C48" s="211">
        <f t="shared" ref="C48:C49" si="0">IF(LEFT(B48,1)="T",1,2)</f>
        <v>1</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9" activePane="bottomLeft" state="frozen"/>
      <selection pane="bottomLeft" activeCell="F23" sqref="F23"/>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77" t="s">
        <v>241</v>
      </c>
      <c r="C1" s="277"/>
      <c r="D1" s="3"/>
      <c r="E1" s="4"/>
      <c r="F1" s="280"/>
      <c r="G1" s="280"/>
      <c r="H1" s="280"/>
      <c r="I1" s="4"/>
      <c r="J1" s="276" t="s">
        <v>13</v>
      </c>
      <c r="K1" s="276"/>
      <c r="L1" s="4"/>
      <c r="M1" s="4"/>
      <c r="N1" s="4"/>
      <c r="O1" s="4"/>
      <c r="P1" s="4"/>
    </row>
    <row r="2" spans="1:36" ht="13.95" customHeight="1">
      <c r="A2" s="79"/>
      <c r="B2" s="278"/>
      <c r="C2" s="278"/>
      <c r="D2" s="5"/>
      <c r="E2" s="6"/>
      <c r="F2" s="281"/>
      <c r="G2" s="281"/>
      <c r="H2" s="281"/>
      <c r="I2" s="4"/>
      <c r="J2" s="279"/>
      <c r="K2" s="279"/>
      <c r="L2" s="282" t="s">
        <v>328</v>
      </c>
      <c r="M2" s="264"/>
      <c r="N2" s="264" t="s">
        <v>329</v>
      </c>
      <c r="O2" s="265"/>
      <c r="P2" s="4"/>
    </row>
    <row r="3" spans="1:36" ht="13.95"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5"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5" customHeight="1">
      <c r="A5" s="80">
        <v>1</v>
      </c>
      <c r="B5" s="122"/>
      <c r="C5" s="123" t="s">
        <v>458</v>
      </c>
      <c r="D5" s="57"/>
      <c r="E5" s="94">
        <v>45234</v>
      </c>
      <c r="F5" s="59">
        <v>1730</v>
      </c>
      <c r="G5" s="60"/>
      <c r="H5" s="203" t="str">
        <f t="shared" ref="H5:H36" si="0">IF(OR(B5="*",C5=""),"",IF(OR(E5="",F5=""),"-",""))</f>
        <v/>
      </c>
      <c r="I5" s="4"/>
      <c r="J5" s="82">
        <v>1</v>
      </c>
      <c r="K5" s="73"/>
      <c r="L5" s="94"/>
      <c r="M5" s="59"/>
      <c r="N5" s="94"/>
      <c r="O5" s="59"/>
      <c r="P5" s="4"/>
      <c r="AA5" s="101">
        <f t="shared" ref="AA5:AA36" si="1">IF(B5="",0,1)</f>
        <v>0</v>
      </c>
    </row>
    <row r="6" spans="1:36" ht="13.95" customHeight="1">
      <c r="A6" s="80">
        <v>2</v>
      </c>
      <c r="B6" s="122" t="s">
        <v>712</v>
      </c>
      <c r="C6" s="123" t="s">
        <v>526</v>
      </c>
      <c r="D6" s="57"/>
      <c r="E6" s="94">
        <v>45235</v>
      </c>
      <c r="F6" s="59">
        <v>1</v>
      </c>
      <c r="G6" s="60"/>
      <c r="H6" s="203" t="str">
        <f t="shared" si="0"/>
        <v/>
      </c>
      <c r="I6" s="4"/>
      <c r="J6" s="82">
        <v>2</v>
      </c>
      <c r="K6" s="73"/>
      <c r="L6" s="94"/>
      <c r="M6" s="59"/>
      <c r="N6" s="94"/>
      <c r="O6" s="59"/>
      <c r="P6" s="4"/>
      <c r="AA6" s="101">
        <f t="shared" si="1"/>
        <v>1</v>
      </c>
    </row>
    <row r="7" spans="1:36" ht="13.95" customHeight="1">
      <c r="A7" s="80">
        <v>3</v>
      </c>
      <c r="B7" s="122"/>
      <c r="C7" s="123" t="s">
        <v>702</v>
      </c>
      <c r="D7" s="57"/>
      <c r="E7" s="94"/>
      <c r="F7" s="59"/>
      <c r="G7" s="60"/>
      <c r="H7" s="203" t="str">
        <f t="shared" si="0"/>
        <v>-</v>
      </c>
      <c r="I7" s="4"/>
      <c r="J7" s="82">
        <v>3</v>
      </c>
      <c r="K7" s="73"/>
      <c r="L7" s="94"/>
      <c r="M7" s="59"/>
      <c r="N7" s="94"/>
      <c r="O7" s="59"/>
      <c r="P7" s="4"/>
      <c r="AA7" s="101">
        <f t="shared" si="1"/>
        <v>0</v>
      </c>
    </row>
    <row r="8" spans="1:36" ht="13.95" customHeight="1">
      <c r="A8" s="80">
        <v>4</v>
      </c>
      <c r="B8" s="122"/>
      <c r="C8" s="123" t="s">
        <v>530</v>
      </c>
      <c r="D8" s="57"/>
      <c r="E8" s="94"/>
      <c r="F8" s="59"/>
      <c r="G8" s="60"/>
      <c r="H8" s="203" t="str">
        <f t="shared" si="0"/>
        <v>-</v>
      </c>
      <c r="I8" s="4"/>
      <c r="J8" s="82">
        <v>4</v>
      </c>
      <c r="K8" s="73"/>
      <c r="L8" s="94"/>
      <c r="M8" s="59"/>
      <c r="N8" s="94"/>
      <c r="O8" s="59"/>
      <c r="P8" s="4"/>
      <c r="AA8" s="101">
        <f t="shared" si="1"/>
        <v>0</v>
      </c>
    </row>
    <row r="9" spans="1:36" ht="13.95" customHeight="1">
      <c r="A9" s="80">
        <v>5</v>
      </c>
      <c r="B9" s="122"/>
      <c r="C9" s="123" t="s">
        <v>703</v>
      </c>
      <c r="D9" s="57"/>
      <c r="E9" s="94"/>
      <c r="F9" s="59"/>
      <c r="G9" s="60"/>
      <c r="H9" s="203" t="str">
        <f t="shared" si="0"/>
        <v>-</v>
      </c>
      <c r="I9" s="4"/>
      <c r="J9" s="82">
        <v>5</v>
      </c>
      <c r="K9" s="73"/>
      <c r="L9" s="94"/>
      <c r="M9" s="59"/>
      <c r="N9" s="94"/>
      <c r="O9" s="59"/>
      <c r="P9" s="4"/>
      <c r="AA9" s="101">
        <f t="shared" si="1"/>
        <v>0</v>
      </c>
    </row>
    <row r="10" spans="1:36" ht="13.95" customHeight="1">
      <c r="A10" s="80">
        <v>6</v>
      </c>
      <c r="B10" s="122"/>
      <c r="C10" s="123" t="s">
        <v>497</v>
      </c>
      <c r="D10" s="57"/>
      <c r="E10" s="94"/>
      <c r="F10" s="59"/>
      <c r="G10" s="60"/>
      <c r="H10" s="203" t="str">
        <f t="shared" si="0"/>
        <v>-</v>
      </c>
      <c r="I10" s="4"/>
      <c r="J10" s="82">
        <v>6</v>
      </c>
      <c r="K10" s="73"/>
      <c r="L10" s="94"/>
      <c r="M10" s="59"/>
      <c r="N10" s="94"/>
      <c r="O10" s="59"/>
      <c r="P10" s="4"/>
      <c r="AA10" s="101">
        <f t="shared" si="1"/>
        <v>0</v>
      </c>
    </row>
    <row r="11" spans="1:36" ht="13.95" customHeight="1">
      <c r="A11" s="80">
        <v>7</v>
      </c>
      <c r="B11" s="122" t="s">
        <v>712</v>
      </c>
      <c r="C11" s="123" t="s">
        <v>704</v>
      </c>
      <c r="D11" s="57"/>
      <c r="E11" s="94">
        <v>45239</v>
      </c>
      <c r="F11" s="59">
        <v>906</v>
      </c>
      <c r="G11" s="60"/>
      <c r="H11" s="203" t="str">
        <f t="shared" si="0"/>
        <v/>
      </c>
      <c r="I11" s="4"/>
      <c r="J11" s="82">
        <v>7</v>
      </c>
      <c r="K11" s="73"/>
      <c r="L11" s="94"/>
      <c r="M11" s="59"/>
      <c r="N11" s="94"/>
      <c r="O11" s="59"/>
      <c r="P11" s="4"/>
      <c r="AA11" s="101">
        <f t="shared" si="1"/>
        <v>1</v>
      </c>
    </row>
    <row r="12" spans="1:36" ht="13.95"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5" customHeight="1">
      <c r="A13" s="80">
        <v>9</v>
      </c>
      <c r="B13" s="122"/>
      <c r="C13" s="123" t="s">
        <v>511</v>
      </c>
      <c r="D13" s="57"/>
      <c r="E13" s="94"/>
      <c r="F13" s="59"/>
      <c r="G13" s="60"/>
      <c r="H13" s="203" t="str">
        <f t="shared" si="0"/>
        <v>-</v>
      </c>
      <c r="I13" s="4"/>
      <c r="J13" s="82">
        <v>9</v>
      </c>
      <c r="K13" s="73"/>
      <c r="L13" s="94"/>
      <c r="M13" s="59"/>
      <c r="N13" s="94"/>
      <c r="O13" s="59"/>
      <c r="P13" s="4"/>
      <c r="AA13" s="101">
        <f t="shared" si="1"/>
        <v>0</v>
      </c>
    </row>
    <row r="14" spans="1:36" ht="13.95" customHeight="1">
      <c r="A14" s="80">
        <v>10</v>
      </c>
      <c r="B14" s="122"/>
      <c r="C14" s="123" t="s">
        <v>705</v>
      </c>
      <c r="D14" s="57"/>
      <c r="E14" s="94"/>
      <c r="F14" s="59"/>
      <c r="G14" s="60"/>
      <c r="H14" s="203" t="str">
        <f t="shared" si="0"/>
        <v>-</v>
      </c>
      <c r="I14" s="4"/>
      <c r="J14" s="82">
        <v>10</v>
      </c>
      <c r="K14" s="73"/>
      <c r="L14" s="94"/>
      <c r="M14" s="59"/>
      <c r="N14" s="94"/>
      <c r="O14" s="59"/>
      <c r="P14" s="4"/>
      <c r="AA14" s="101">
        <f t="shared" si="1"/>
        <v>0</v>
      </c>
    </row>
    <row r="15" spans="1:36" ht="13.95" customHeight="1">
      <c r="A15" s="80">
        <v>11</v>
      </c>
      <c r="B15" s="122"/>
      <c r="C15" s="123" t="s">
        <v>481</v>
      </c>
      <c r="D15" s="57"/>
      <c r="E15" s="94"/>
      <c r="F15" s="59"/>
      <c r="G15" s="60"/>
      <c r="H15" s="203" t="str">
        <f t="shared" si="0"/>
        <v>-</v>
      </c>
      <c r="I15" s="4"/>
      <c r="J15" s="82">
        <v>11</v>
      </c>
      <c r="K15" s="73"/>
      <c r="L15" s="94"/>
      <c r="M15" s="59"/>
      <c r="N15" s="94"/>
      <c r="O15" s="59"/>
      <c r="P15" s="4"/>
      <c r="AA15" s="101">
        <f t="shared" si="1"/>
        <v>0</v>
      </c>
    </row>
    <row r="16" spans="1:36" ht="13.95" customHeight="1">
      <c r="A16" s="80">
        <v>12</v>
      </c>
      <c r="B16" s="122" t="s">
        <v>712</v>
      </c>
      <c r="C16" s="123" t="s">
        <v>503</v>
      </c>
      <c r="D16" s="57"/>
      <c r="E16" s="94">
        <v>45239</v>
      </c>
      <c r="F16" s="59">
        <v>2036</v>
      </c>
      <c r="G16" s="60"/>
      <c r="H16" s="203" t="str">
        <f t="shared" si="0"/>
        <v/>
      </c>
      <c r="I16" s="4"/>
      <c r="J16" s="82">
        <v>12</v>
      </c>
      <c r="K16" s="73"/>
      <c r="L16" s="94"/>
      <c r="M16" s="59"/>
      <c r="N16" s="94"/>
      <c r="O16" s="59"/>
      <c r="P16" s="4"/>
      <c r="AA16" s="101">
        <f t="shared" si="1"/>
        <v>1</v>
      </c>
    </row>
    <row r="17" spans="1:27" ht="13.95" customHeight="1">
      <c r="A17" s="80">
        <v>13</v>
      </c>
      <c r="B17" s="122" t="s">
        <v>712</v>
      </c>
      <c r="C17" s="123" t="s">
        <v>706</v>
      </c>
      <c r="D17" s="57" t="s">
        <v>709</v>
      </c>
      <c r="E17" s="94">
        <v>45241</v>
      </c>
      <c r="F17" s="59">
        <v>136</v>
      </c>
      <c r="G17" s="60"/>
      <c r="H17" s="203" t="str">
        <f t="shared" si="0"/>
        <v/>
      </c>
      <c r="I17" s="4"/>
      <c r="J17" s="82">
        <v>13</v>
      </c>
      <c r="K17" s="73"/>
      <c r="L17" s="94"/>
      <c r="M17" s="59"/>
      <c r="N17" s="94"/>
      <c r="O17" s="59"/>
      <c r="P17" s="4"/>
      <c r="AA17" s="101">
        <f t="shared" si="1"/>
        <v>1</v>
      </c>
    </row>
    <row r="18" spans="1:27" ht="13.95" customHeight="1">
      <c r="A18" s="80">
        <v>14</v>
      </c>
      <c r="B18" s="122" t="s">
        <v>712</v>
      </c>
      <c r="C18" s="123" t="s">
        <v>706</v>
      </c>
      <c r="D18" s="57" t="s">
        <v>710</v>
      </c>
      <c r="E18" s="94">
        <v>45241</v>
      </c>
      <c r="F18" s="59">
        <v>112</v>
      </c>
      <c r="G18" s="60"/>
      <c r="H18" s="203" t="str">
        <f t="shared" si="0"/>
        <v/>
      </c>
      <c r="I18" s="4"/>
      <c r="J18" s="82">
        <v>14</v>
      </c>
      <c r="K18" s="73"/>
      <c r="L18" s="94"/>
      <c r="M18" s="59"/>
      <c r="N18" s="94"/>
      <c r="O18" s="59"/>
      <c r="P18" s="4"/>
      <c r="AA18" s="101">
        <f t="shared" si="1"/>
        <v>1</v>
      </c>
    </row>
    <row r="19" spans="1:27" ht="13.95" customHeight="1">
      <c r="A19" s="80">
        <v>15</v>
      </c>
      <c r="B19" s="122" t="s">
        <v>712</v>
      </c>
      <c r="C19" s="123" t="s">
        <v>706</v>
      </c>
      <c r="D19" s="57" t="s">
        <v>711</v>
      </c>
      <c r="E19" s="94">
        <v>45239</v>
      </c>
      <c r="F19" s="59">
        <v>2100</v>
      </c>
      <c r="G19" s="60"/>
      <c r="H19" s="203" t="str">
        <f t="shared" si="0"/>
        <v/>
      </c>
      <c r="I19" s="4"/>
      <c r="J19" s="82">
        <v>15</v>
      </c>
      <c r="K19" s="73"/>
      <c r="L19" s="94"/>
      <c r="M19" s="59"/>
      <c r="N19" s="94"/>
      <c r="O19" s="59"/>
      <c r="P19" s="4"/>
      <c r="AA19" s="101">
        <f t="shared" si="1"/>
        <v>1</v>
      </c>
    </row>
    <row r="20" spans="1:27" ht="13.95" customHeight="1">
      <c r="A20" s="80">
        <v>16</v>
      </c>
      <c r="B20" s="122"/>
      <c r="C20" s="123" t="s">
        <v>707</v>
      </c>
      <c r="D20" s="57"/>
      <c r="E20" s="94"/>
      <c r="F20" s="59"/>
      <c r="G20" s="60"/>
      <c r="H20" s="203" t="str">
        <f t="shared" si="0"/>
        <v>-</v>
      </c>
      <c r="I20" s="4"/>
      <c r="J20" s="82">
        <v>16</v>
      </c>
      <c r="K20" s="73"/>
      <c r="L20" s="94"/>
      <c r="M20" s="59"/>
      <c r="N20" s="94"/>
      <c r="O20" s="59"/>
      <c r="P20" s="4"/>
      <c r="AA20" s="101">
        <f t="shared" si="1"/>
        <v>0</v>
      </c>
    </row>
    <row r="21" spans="1:27" ht="13.95" customHeight="1">
      <c r="A21" s="80">
        <v>17</v>
      </c>
      <c r="B21" s="122"/>
      <c r="C21" s="123" t="s">
        <v>468</v>
      </c>
      <c r="D21" s="57"/>
      <c r="E21" s="94"/>
      <c r="F21" s="59"/>
      <c r="G21" s="60"/>
      <c r="H21" s="203" t="str">
        <f t="shared" si="0"/>
        <v>-</v>
      </c>
      <c r="I21" s="4"/>
      <c r="J21" s="82">
        <v>17</v>
      </c>
      <c r="K21" s="73"/>
      <c r="L21" s="94"/>
      <c r="M21" s="59"/>
      <c r="N21" s="94"/>
      <c r="O21" s="59"/>
      <c r="P21" s="4"/>
      <c r="AA21" s="101">
        <f t="shared" si="1"/>
        <v>0</v>
      </c>
    </row>
    <row r="22" spans="1:27" ht="13.95" customHeight="1">
      <c r="A22" s="80">
        <v>18</v>
      </c>
      <c r="B22" s="122" t="s">
        <v>712</v>
      </c>
      <c r="C22" s="123" t="s">
        <v>480</v>
      </c>
      <c r="D22" s="58" t="s">
        <v>710</v>
      </c>
      <c r="E22" s="94">
        <v>45241</v>
      </c>
      <c r="F22" s="59">
        <v>1236</v>
      </c>
      <c r="G22" s="60"/>
      <c r="H22" s="203" t="str">
        <f t="shared" si="0"/>
        <v/>
      </c>
      <c r="I22" s="4"/>
      <c r="J22" s="82">
        <v>18</v>
      </c>
      <c r="K22" s="73"/>
      <c r="L22" s="94"/>
      <c r="M22" s="59"/>
      <c r="N22" s="94"/>
      <c r="O22" s="59"/>
      <c r="P22" s="4"/>
      <c r="AA22" s="101">
        <f t="shared" si="1"/>
        <v>1</v>
      </c>
    </row>
    <row r="23" spans="1:27" ht="13.95" customHeight="1">
      <c r="A23" s="80">
        <v>19</v>
      </c>
      <c r="B23" s="122" t="s">
        <v>712</v>
      </c>
      <c r="C23" s="123" t="s">
        <v>480</v>
      </c>
      <c r="D23" s="57" t="s">
        <v>711</v>
      </c>
      <c r="E23" s="94">
        <v>45240</v>
      </c>
      <c r="F23" s="59">
        <v>730</v>
      </c>
      <c r="G23" s="60"/>
      <c r="H23" s="203" t="str">
        <f t="shared" si="0"/>
        <v/>
      </c>
      <c r="I23" s="4"/>
      <c r="J23" s="82">
        <v>19</v>
      </c>
      <c r="K23" s="73"/>
      <c r="L23" s="94"/>
      <c r="M23" s="59"/>
      <c r="N23" s="94"/>
      <c r="O23" s="59"/>
      <c r="P23" s="4"/>
      <c r="AA23" s="101">
        <f t="shared" si="1"/>
        <v>1</v>
      </c>
    </row>
    <row r="24" spans="1:27" ht="13.95" customHeight="1">
      <c r="A24" s="80">
        <v>20</v>
      </c>
      <c r="B24" s="122" t="s">
        <v>712</v>
      </c>
      <c r="C24" s="123" t="s">
        <v>480</v>
      </c>
      <c r="D24" s="57" t="s">
        <v>709</v>
      </c>
      <c r="E24" s="94">
        <v>45241</v>
      </c>
      <c r="F24" s="59">
        <v>1048</v>
      </c>
      <c r="G24" s="60"/>
      <c r="H24" s="203" t="str">
        <f t="shared" si="0"/>
        <v/>
      </c>
      <c r="I24" s="4"/>
      <c r="J24" s="82">
        <v>20</v>
      </c>
      <c r="K24" s="73"/>
      <c r="L24" s="94"/>
      <c r="M24" s="59"/>
      <c r="N24" s="94"/>
      <c r="O24" s="59"/>
      <c r="P24" s="4"/>
      <c r="AA24" s="101">
        <f t="shared" si="1"/>
        <v>1</v>
      </c>
    </row>
    <row r="25" spans="1:27" ht="13.95" customHeight="1">
      <c r="A25" s="80">
        <v>21</v>
      </c>
      <c r="B25" s="122"/>
      <c r="C25" s="123" t="s">
        <v>708</v>
      </c>
      <c r="D25" s="57"/>
      <c r="E25" s="94"/>
      <c r="F25" s="59"/>
      <c r="G25" s="60"/>
      <c r="H25" s="203" t="str">
        <f t="shared" si="0"/>
        <v>-</v>
      </c>
      <c r="I25" s="4"/>
      <c r="J25" s="275" t="s">
        <v>369</v>
      </c>
      <c r="K25" s="275"/>
      <c r="L25" s="4"/>
      <c r="M25" s="4"/>
      <c r="N25" s="4"/>
      <c r="O25" s="4"/>
      <c r="P25" s="4"/>
      <c r="AA25" s="101">
        <f t="shared" si="1"/>
        <v>0</v>
      </c>
    </row>
    <row r="26" spans="1:27" ht="13.95" customHeight="1">
      <c r="A26" s="80">
        <v>22</v>
      </c>
      <c r="B26" s="122" t="s">
        <v>712</v>
      </c>
      <c r="C26" s="123" t="s">
        <v>504</v>
      </c>
      <c r="D26" s="57"/>
      <c r="E26" s="94">
        <v>45241</v>
      </c>
      <c r="F26" s="59">
        <v>1306</v>
      </c>
      <c r="G26" s="60"/>
      <c r="H26" s="203" t="str">
        <f t="shared" si="0"/>
        <v/>
      </c>
      <c r="I26" s="4"/>
      <c r="J26" s="276"/>
      <c r="K26" s="276"/>
      <c r="L26" s="4"/>
      <c r="M26" s="4"/>
      <c r="N26" s="4"/>
      <c r="O26" s="4"/>
      <c r="P26" s="4"/>
      <c r="AA26" s="101">
        <f t="shared" si="1"/>
        <v>1</v>
      </c>
    </row>
    <row r="27" spans="1:27" ht="13.95" customHeight="1">
      <c r="A27" s="80">
        <v>23</v>
      </c>
      <c r="B27" s="122"/>
      <c r="C27" s="123" t="s">
        <v>476</v>
      </c>
      <c r="D27" s="57"/>
      <c r="E27" s="94"/>
      <c r="F27" s="59"/>
      <c r="G27" s="60"/>
      <c r="H27" s="203" t="str">
        <f t="shared" si="0"/>
        <v>-</v>
      </c>
      <c r="I27" s="4"/>
      <c r="J27" s="266"/>
      <c r="K27" s="267"/>
      <c r="L27" s="267"/>
      <c r="M27" s="267"/>
      <c r="N27" s="267"/>
      <c r="O27" s="268"/>
      <c r="P27" s="4"/>
      <c r="AA27" s="101">
        <f t="shared" si="1"/>
        <v>0</v>
      </c>
    </row>
    <row r="28" spans="1:27" ht="13.95" customHeight="1">
      <c r="A28" s="80">
        <v>24</v>
      </c>
      <c r="B28" s="122"/>
      <c r="C28" s="123" t="s">
        <v>467</v>
      </c>
      <c r="D28" s="57"/>
      <c r="E28" s="94"/>
      <c r="F28" s="59"/>
      <c r="G28" s="60"/>
      <c r="H28" s="203" t="str">
        <f t="shared" si="0"/>
        <v>-</v>
      </c>
      <c r="I28" s="4"/>
      <c r="J28" s="269"/>
      <c r="K28" s="270"/>
      <c r="L28" s="270"/>
      <c r="M28" s="270"/>
      <c r="N28" s="270"/>
      <c r="O28" s="271"/>
      <c r="P28" s="4"/>
      <c r="AA28" s="101">
        <f t="shared" si="1"/>
        <v>0</v>
      </c>
    </row>
    <row r="29" spans="1:27" ht="13.95" customHeight="1">
      <c r="A29" s="80">
        <v>25</v>
      </c>
      <c r="B29" s="122"/>
      <c r="C29" s="123" t="s">
        <v>528</v>
      </c>
      <c r="D29" s="57"/>
      <c r="E29" s="94"/>
      <c r="F29" s="59"/>
      <c r="G29" s="60"/>
      <c r="H29" s="203" t="str">
        <f t="shared" si="0"/>
        <v>-</v>
      </c>
      <c r="I29" s="4"/>
      <c r="J29" s="269"/>
      <c r="K29" s="270"/>
      <c r="L29" s="270"/>
      <c r="M29" s="270"/>
      <c r="N29" s="270"/>
      <c r="O29" s="271"/>
      <c r="P29" s="4"/>
      <c r="AA29" s="101">
        <f t="shared" si="1"/>
        <v>0</v>
      </c>
    </row>
    <row r="30" spans="1:27" ht="13.95" customHeight="1">
      <c r="A30" s="80">
        <v>26</v>
      </c>
      <c r="B30" s="122" t="s">
        <v>712</v>
      </c>
      <c r="C30" s="123" t="s">
        <v>563</v>
      </c>
      <c r="D30" s="57"/>
      <c r="E30" s="94">
        <v>45241</v>
      </c>
      <c r="F30" s="59">
        <v>1530</v>
      </c>
      <c r="G30" s="60"/>
      <c r="H30" s="203" t="str">
        <f t="shared" si="0"/>
        <v/>
      </c>
      <c r="I30" s="4"/>
      <c r="J30" s="269"/>
      <c r="K30" s="270"/>
      <c r="L30" s="270"/>
      <c r="M30" s="270"/>
      <c r="N30" s="270"/>
      <c r="O30" s="271"/>
      <c r="P30" s="4"/>
      <c r="AA30" s="101">
        <f t="shared" si="1"/>
        <v>1</v>
      </c>
    </row>
    <row r="31" spans="1:27" ht="13.95" customHeight="1">
      <c r="A31" s="80">
        <v>27</v>
      </c>
      <c r="B31" s="122"/>
      <c r="C31" s="123" t="s">
        <v>498</v>
      </c>
      <c r="D31" s="57"/>
      <c r="E31" s="94"/>
      <c r="F31" s="59"/>
      <c r="G31" s="60"/>
      <c r="H31" s="203" t="str">
        <f t="shared" si="0"/>
        <v>-</v>
      </c>
      <c r="I31" s="4"/>
      <c r="J31" s="269"/>
      <c r="K31" s="270"/>
      <c r="L31" s="270"/>
      <c r="M31" s="270"/>
      <c r="N31" s="270"/>
      <c r="O31" s="271"/>
      <c r="P31" s="4"/>
      <c r="AA31" s="101">
        <f t="shared" si="1"/>
        <v>0</v>
      </c>
    </row>
    <row r="32" spans="1:27" ht="13.95"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5"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5"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opLeftCell="A13" zoomScaleNormal="100" workbookViewId="0">
      <selection activeCell="A40" sqref="A40"/>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v>45241</v>
      </c>
      <c r="D4" s="168" t="s">
        <v>323</v>
      </c>
      <c r="E4" s="25"/>
      <c r="F4" s="290" t="s">
        <v>866</v>
      </c>
      <c r="G4" s="291"/>
      <c r="H4" s="36"/>
    </row>
    <row r="5" spans="1:78" ht="15" customHeight="1">
      <c r="A5" s="36"/>
      <c r="B5" s="42" t="s">
        <v>224</v>
      </c>
      <c r="C5" s="46" t="s">
        <v>867</v>
      </c>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868</v>
      </c>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v>0.99950000000000006</v>
      </c>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93318</v>
      </c>
      <c r="D11" s="31">
        <f t="shared" ref="D11" si="0">IF(D12="","",D12)</f>
        <v>14828.23</v>
      </c>
      <c r="E11" s="30">
        <f>IF(E12="","",E12)</f>
        <v>11535</v>
      </c>
      <c r="F11" s="31">
        <f>IF(F12="","",F12)</f>
        <v>11720.1</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v>93318</v>
      </c>
      <c r="D12" s="28">
        <v>14828.23</v>
      </c>
      <c r="E12" s="27">
        <v>11535</v>
      </c>
      <c r="F12" s="28">
        <v>11720.1</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93318</v>
      </c>
      <c r="D13" s="31">
        <f t="shared" ref="D13" si="1">IF(D12="","",D12)</f>
        <v>14828.23</v>
      </c>
      <c r="E13" s="30">
        <f>IF(E12="","",E12)</f>
        <v>11535</v>
      </c>
      <c r="F13" s="31">
        <f>IF(F12="","",F12)</f>
        <v>11720.1</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869</v>
      </c>
      <c r="D15" s="44"/>
      <c r="E15" s="198" t="s">
        <v>651</v>
      </c>
      <c r="F15" s="37" t="s">
        <v>199</v>
      </c>
      <c r="G15" s="26">
        <v>0.7913</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85</v>
      </c>
      <c r="D16" s="24" t="s">
        <v>349</v>
      </c>
      <c r="E16" s="199" t="s">
        <v>398</v>
      </c>
      <c r="F16" s="37" t="s">
        <v>200</v>
      </c>
      <c r="G16" s="33">
        <v>47.2</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f>IF(C25="","",C25)</f>
        <v>93313</v>
      </c>
      <c r="D24" s="160">
        <f>IF(D25="","",D25)</f>
        <v>14827.436</v>
      </c>
      <c r="E24" s="161">
        <f t="shared" ref="E24" si="5">IF(E25="","",E25)</f>
        <v>11534.4</v>
      </c>
      <c r="F24" s="160">
        <f>IF(F25="","",F25)</f>
        <v>11719.5</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v>93313</v>
      </c>
      <c r="D25" s="157">
        <v>14827.436</v>
      </c>
      <c r="E25" s="158">
        <v>11534.4</v>
      </c>
      <c r="F25" s="157">
        <v>11719.5</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93313</v>
      </c>
      <c r="D26" s="160">
        <f t="shared" ref="D26" si="6">IF(D25="","",D25)</f>
        <v>14827.436</v>
      </c>
      <c r="E26" s="161">
        <f>IF(E25="","",E25)</f>
        <v>11534.4</v>
      </c>
      <c r="F26" s="160">
        <f>IF(F25="","",F25)</f>
        <v>11719.5</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0.7913</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78</v>
      </c>
      <c r="D29" s="35" t="str">
        <f>IF(D16="","",D16)</f>
        <v>°F</v>
      </c>
      <c r="E29" s="25"/>
      <c r="F29" s="37" t="s">
        <v>200</v>
      </c>
      <c r="G29" s="100">
        <f>IF(G16="","",G16)</f>
        <v>47.2</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f>IF(OR(C12="",C25=""),"",C25-C12)</f>
        <v>-5</v>
      </c>
      <c r="D36" s="133">
        <f>IF(OR(D12="",D25=""),"",D25-D12)</f>
        <v>-0.79399999999986903</v>
      </c>
      <c r="E36" s="133">
        <f>IF(OR(E12="",E25=""),"",E25-E12)</f>
        <v>-0.6000000000003638</v>
      </c>
      <c r="F36" s="133">
        <f>IF(OR(F12="",F25=""),"",F25-F12)</f>
        <v>-0.6000000000003638</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f>IF(OR(C12="",C25=""),"",C36/C12*100)</f>
        <v>-5.3580231037956231E-3</v>
      </c>
      <c r="D37" s="134">
        <f t="shared" ref="D37" si="7">IF(OR(D12="",D25=""),"",D36/D12*100)</f>
        <v>-5.3546512294445738E-3</v>
      </c>
      <c r="E37" s="134">
        <f>IF(OR(E12="",E25=""),"",E36/E12*100)</f>
        <v>-5.201560468143596E-3</v>
      </c>
      <c r="F37" s="134">
        <f>IF(OR(F12="",F25=""),"",F36/F12*100)</f>
        <v>-5.1194102439430017E-3</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zoomScale="85" zoomScaleNormal="85" workbookViewId="0">
      <pane xSplit="3" ySplit="6" topLeftCell="D42" activePane="bottomRight" state="frozen"/>
      <selection activeCell="H12" sqref="H12"/>
      <selection pane="topRight" activeCell="H12" sqref="H12"/>
      <selection pane="bottomLeft" activeCell="H12" sqref="H12"/>
      <selection pane="bottomRight" activeCell="D61" sqref="D61"/>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t="s">
        <v>870</v>
      </c>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266</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713</v>
      </c>
      <c r="D7" s="260" t="s">
        <v>814</v>
      </c>
      <c r="E7" s="126" t="s">
        <v>757</v>
      </c>
      <c r="F7" s="263"/>
      <c r="G7" s="20" t="s">
        <v>825</v>
      </c>
      <c r="H7" s="20"/>
      <c r="I7" s="262" t="s">
        <v>785</v>
      </c>
      <c r="J7" s="246" t="str">
        <f>IF($C7="","",IF(AND($B7="",G7=""),"*",IF(AND($B7="v",NOT(G7="")),"*",IF(AND($B7="",NOT(G7="")),"",IF(AND($B7="v",G7=""),"")))))</f>
        <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714</v>
      </c>
      <c r="D8" s="260" t="s">
        <v>815</v>
      </c>
      <c r="E8" s="126" t="s">
        <v>758</v>
      </c>
      <c r="F8" s="261"/>
      <c r="G8" s="20" t="s">
        <v>826</v>
      </c>
      <c r="H8" s="20"/>
      <c r="I8" s="262" t="s">
        <v>786</v>
      </c>
      <c r="J8" s="246" t="str">
        <f t="shared" ref="J8:J71" si="16">IF($C8="","",IF(AND($B8="",G8=""),"*",IF(AND($B8="v",NOT(G8="")),"*",IF(AND($B8="",NOT(G8="")),"",IF(AND($B8="v",G8=""),"")))))</f>
        <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715</v>
      </c>
      <c r="D9" s="260" t="s">
        <v>816</v>
      </c>
      <c r="E9" s="126" t="s">
        <v>759</v>
      </c>
      <c r="F9" s="261"/>
      <c r="G9" s="20" t="s">
        <v>827</v>
      </c>
      <c r="H9" s="20"/>
      <c r="I9" s="262" t="s">
        <v>787</v>
      </c>
      <c r="J9" s="246" t="str">
        <f t="shared" si="16"/>
        <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716</v>
      </c>
      <c r="D10" s="260" t="s">
        <v>817</v>
      </c>
      <c r="E10" s="126" t="s">
        <v>758</v>
      </c>
      <c r="F10" s="261"/>
      <c r="G10" s="20" t="s">
        <v>828</v>
      </c>
      <c r="H10" s="20"/>
      <c r="I10" s="19" t="s">
        <v>788</v>
      </c>
      <c r="J10" s="246" t="str">
        <f t="shared" si="16"/>
        <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717</v>
      </c>
      <c r="D11" s="260" t="s">
        <v>817</v>
      </c>
      <c r="E11" s="126" t="s">
        <v>758</v>
      </c>
      <c r="F11" s="261"/>
      <c r="G11" s="20" t="s">
        <v>829</v>
      </c>
      <c r="H11" s="20"/>
      <c r="I11" s="19" t="s">
        <v>788</v>
      </c>
      <c r="J11" s="246" t="str">
        <f t="shared" si="16"/>
        <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718</v>
      </c>
      <c r="D12" s="260" t="s">
        <v>817</v>
      </c>
      <c r="E12" s="126" t="s">
        <v>758</v>
      </c>
      <c r="F12" s="261"/>
      <c r="G12" s="20" t="s">
        <v>830</v>
      </c>
      <c r="H12" s="20"/>
      <c r="I12" s="19" t="s">
        <v>788</v>
      </c>
      <c r="J12" s="246" t="str">
        <f t="shared" si="16"/>
        <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719</v>
      </c>
      <c r="D13" s="260" t="s">
        <v>817</v>
      </c>
      <c r="E13" s="126" t="s">
        <v>758</v>
      </c>
      <c r="F13" s="261"/>
      <c r="G13" s="20" t="s">
        <v>831</v>
      </c>
      <c r="H13" s="20"/>
      <c r="I13" s="19" t="s">
        <v>757</v>
      </c>
      <c r="J13" s="246" t="str">
        <f t="shared" si="16"/>
        <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720</v>
      </c>
      <c r="D14" s="260" t="s">
        <v>817</v>
      </c>
      <c r="E14" s="126" t="s">
        <v>758</v>
      </c>
      <c r="F14" s="261"/>
      <c r="G14" s="20" t="s">
        <v>832</v>
      </c>
      <c r="H14" s="20"/>
      <c r="I14" s="19" t="s">
        <v>757</v>
      </c>
      <c r="J14" s="246" t="str">
        <f t="shared" si="16"/>
        <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721</v>
      </c>
      <c r="D15" s="260" t="s">
        <v>817</v>
      </c>
      <c r="E15" s="126" t="s">
        <v>758</v>
      </c>
      <c r="F15" s="261"/>
      <c r="G15" s="20" t="s">
        <v>833</v>
      </c>
      <c r="H15" s="20"/>
      <c r="I15" s="19" t="s">
        <v>757</v>
      </c>
      <c r="J15" s="246" t="str">
        <f t="shared" si="16"/>
        <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722</v>
      </c>
      <c r="D16" s="260" t="s">
        <v>818</v>
      </c>
      <c r="E16" s="126" t="s">
        <v>760</v>
      </c>
      <c r="F16" s="261"/>
      <c r="G16" s="20" t="s">
        <v>834</v>
      </c>
      <c r="H16" s="20"/>
      <c r="I16" s="262" t="s">
        <v>789</v>
      </c>
      <c r="J16" s="246" t="str">
        <f t="shared" si="16"/>
        <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t="s">
        <v>871</v>
      </c>
      <c r="C17" s="62" t="s">
        <v>723</v>
      </c>
      <c r="D17" s="260" t="s">
        <v>873</v>
      </c>
      <c r="E17" s="126" t="s">
        <v>761</v>
      </c>
      <c r="F17" s="261"/>
      <c r="G17" s="20"/>
      <c r="H17" s="20" t="s">
        <v>835</v>
      </c>
      <c r="I17" s="262" t="s">
        <v>790</v>
      </c>
      <c r="J17" s="246" t="str">
        <f t="shared" si="16"/>
        <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724</v>
      </c>
      <c r="D18" s="260" t="s">
        <v>819</v>
      </c>
      <c r="E18" s="126" t="s">
        <v>762</v>
      </c>
      <c r="F18" s="261"/>
      <c r="G18" s="20" t="s">
        <v>836</v>
      </c>
      <c r="H18" s="20"/>
      <c r="I18" s="262" t="s">
        <v>790</v>
      </c>
      <c r="J18" s="246" t="str">
        <f t="shared" si="16"/>
        <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725</v>
      </c>
      <c r="D19" s="260" t="s">
        <v>874</v>
      </c>
      <c r="E19" s="126" t="s">
        <v>763</v>
      </c>
      <c r="F19" s="261"/>
      <c r="G19" s="20" t="s">
        <v>837</v>
      </c>
      <c r="H19" s="20" t="s">
        <v>864</v>
      </c>
      <c r="I19" s="262" t="s">
        <v>791</v>
      </c>
      <c r="J19" s="246" t="str">
        <f t="shared" si="16"/>
        <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726</v>
      </c>
      <c r="D20" s="260" t="s">
        <v>820</v>
      </c>
      <c r="E20" s="126" t="s">
        <v>764</v>
      </c>
      <c r="F20" s="261"/>
      <c r="G20" s="20" t="s">
        <v>838</v>
      </c>
      <c r="H20" s="20"/>
      <c r="I20" s="262" t="s">
        <v>791</v>
      </c>
      <c r="J20" s="246" t="str">
        <f t="shared" si="16"/>
        <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t="s">
        <v>871</v>
      </c>
      <c r="C21" s="62" t="s">
        <v>727</v>
      </c>
      <c r="D21" s="117"/>
      <c r="E21" s="126" t="s">
        <v>757</v>
      </c>
      <c r="F21" s="263"/>
      <c r="G21" s="20"/>
      <c r="H21" s="20" t="s">
        <v>835</v>
      </c>
      <c r="I21" s="262" t="s">
        <v>792</v>
      </c>
      <c r="J21" s="246" t="str">
        <f t="shared" si="16"/>
        <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728</v>
      </c>
      <c r="D22" s="260" t="s">
        <v>821</v>
      </c>
      <c r="E22" s="126" t="s">
        <v>758</v>
      </c>
      <c r="F22" s="261"/>
      <c r="G22" s="20" t="s">
        <v>839</v>
      </c>
      <c r="H22" s="20"/>
      <c r="I22" s="19" t="s">
        <v>790</v>
      </c>
      <c r="J22" s="246" t="str">
        <f t="shared" si="16"/>
        <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729</v>
      </c>
      <c r="D23" s="260" t="s">
        <v>821</v>
      </c>
      <c r="E23" s="126" t="s">
        <v>758</v>
      </c>
      <c r="F23" s="261"/>
      <c r="G23" s="20" t="s">
        <v>840</v>
      </c>
      <c r="H23" s="20"/>
      <c r="I23" s="19" t="s">
        <v>790</v>
      </c>
      <c r="J23" s="246" t="str">
        <f t="shared" si="16"/>
        <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730</v>
      </c>
      <c r="D24" s="260" t="s">
        <v>821</v>
      </c>
      <c r="E24" s="126" t="s">
        <v>758</v>
      </c>
      <c r="F24" s="261"/>
      <c r="G24" s="20" t="s">
        <v>840</v>
      </c>
      <c r="H24" s="20"/>
      <c r="I24" s="19" t="s">
        <v>790</v>
      </c>
      <c r="J24" s="246" t="str">
        <f t="shared" si="16"/>
        <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731</v>
      </c>
      <c r="D25" s="260" t="s">
        <v>822</v>
      </c>
      <c r="E25" s="126" t="s">
        <v>758</v>
      </c>
      <c r="F25" s="261"/>
      <c r="G25" s="20" t="s">
        <v>840</v>
      </c>
      <c r="H25" s="20"/>
      <c r="I25" s="19" t="s">
        <v>790</v>
      </c>
      <c r="J25" s="246" t="str">
        <f t="shared" si="16"/>
        <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732</v>
      </c>
      <c r="D26" s="260" t="s">
        <v>823</v>
      </c>
      <c r="E26" s="126" t="s">
        <v>758</v>
      </c>
      <c r="F26" s="261"/>
      <c r="G26" s="20" t="s">
        <v>841</v>
      </c>
      <c r="H26" s="20"/>
      <c r="I26" s="262" t="s">
        <v>793</v>
      </c>
      <c r="J26" s="246" t="str">
        <f t="shared" si="16"/>
        <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733</v>
      </c>
      <c r="D27" s="260" t="s">
        <v>823</v>
      </c>
      <c r="E27" s="126" t="s">
        <v>765</v>
      </c>
      <c r="F27" s="261"/>
      <c r="G27" s="20" t="s">
        <v>842</v>
      </c>
      <c r="H27" s="20"/>
      <c r="I27" s="262" t="s">
        <v>793</v>
      </c>
      <c r="J27" s="246" t="str">
        <f t="shared" si="16"/>
        <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734</v>
      </c>
      <c r="D28" s="260" t="s">
        <v>823</v>
      </c>
      <c r="E28" s="126" t="s">
        <v>758</v>
      </c>
      <c r="F28" s="261"/>
      <c r="G28" s="20" t="s">
        <v>843</v>
      </c>
      <c r="H28" s="20"/>
      <c r="I28" s="262" t="s">
        <v>793</v>
      </c>
      <c r="J28" s="246" t="str">
        <f t="shared" si="16"/>
        <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735</v>
      </c>
      <c r="D29" s="260" t="s">
        <v>823</v>
      </c>
      <c r="E29" s="126" t="s">
        <v>758</v>
      </c>
      <c r="F29" s="261"/>
      <c r="G29" s="20" t="s">
        <v>844</v>
      </c>
      <c r="H29" s="20"/>
      <c r="I29" s="262" t="s">
        <v>793</v>
      </c>
      <c r="J29" s="246" t="str">
        <f t="shared" si="16"/>
        <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736</v>
      </c>
      <c r="D30" s="260" t="s">
        <v>823</v>
      </c>
      <c r="E30" s="126" t="s">
        <v>766</v>
      </c>
      <c r="F30" s="261"/>
      <c r="G30" s="20" t="s">
        <v>845</v>
      </c>
      <c r="H30" s="20"/>
      <c r="I30" s="262" t="s">
        <v>793</v>
      </c>
      <c r="J30" s="246" t="str">
        <f t="shared" si="16"/>
        <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737</v>
      </c>
      <c r="D31" s="260" t="s">
        <v>823</v>
      </c>
      <c r="E31" s="126" t="s">
        <v>767</v>
      </c>
      <c r="F31" s="261"/>
      <c r="G31" s="20" t="s">
        <v>846</v>
      </c>
      <c r="H31" s="20"/>
      <c r="I31" s="262" t="s">
        <v>790</v>
      </c>
      <c r="J31" s="246" t="str">
        <f t="shared" si="16"/>
        <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738</v>
      </c>
      <c r="D32" s="260" t="s">
        <v>823</v>
      </c>
      <c r="E32" s="126" t="s">
        <v>767</v>
      </c>
      <c r="F32" s="261"/>
      <c r="G32" s="20" t="s">
        <v>847</v>
      </c>
      <c r="H32" s="20"/>
      <c r="I32" s="262" t="s">
        <v>790</v>
      </c>
      <c r="J32" s="246" t="str">
        <f t="shared" si="16"/>
        <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739</v>
      </c>
      <c r="D33" s="260" t="s">
        <v>872</v>
      </c>
      <c r="E33" s="126" t="s">
        <v>768</v>
      </c>
      <c r="F33" s="261"/>
      <c r="G33" s="20" t="s">
        <v>848</v>
      </c>
      <c r="H33" s="20" t="s">
        <v>863</v>
      </c>
      <c r="I33" s="262" t="s">
        <v>793</v>
      </c>
      <c r="J33" s="246" t="str">
        <f t="shared" si="16"/>
        <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740</v>
      </c>
      <c r="D34" s="260" t="s">
        <v>824</v>
      </c>
      <c r="E34" s="126" t="s">
        <v>769</v>
      </c>
      <c r="F34" s="261"/>
      <c r="G34" s="20" t="s">
        <v>849</v>
      </c>
      <c r="H34" s="20"/>
      <c r="I34" s="262" t="s">
        <v>794</v>
      </c>
      <c r="J34" s="246" t="str">
        <f t="shared" si="16"/>
        <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741</v>
      </c>
      <c r="D35" s="260" t="s">
        <v>802</v>
      </c>
      <c r="E35" s="126" t="s">
        <v>770</v>
      </c>
      <c r="F35" s="261"/>
      <c r="G35" s="20" t="s">
        <v>850</v>
      </c>
      <c r="H35" s="20"/>
      <c r="I35" s="262" t="s">
        <v>793</v>
      </c>
      <c r="J35" s="246" t="str">
        <f t="shared" si="16"/>
        <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742</v>
      </c>
      <c r="D36" s="260" t="s">
        <v>803</v>
      </c>
      <c r="E36" s="126" t="s">
        <v>771</v>
      </c>
      <c r="F36" s="261"/>
      <c r="G36" s="20" t="s">
        <v>851</v>
      </c>
      <c r="H36" s="20"/>
      <c r="I36" s="262" t="s">
        <v>795</v>
      </c>
      <c r="J36" s="246" t="str">
        <f t="shared" si="16"/>
        <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743</v>
      </c>
      <c r="D37" s="260" t="s">
        <v>804</v>
      </c>
      <c r="E37" s="126" t="s">
        <v>772</v>
      </c>
      <c r="F37" s="261"/>
      <c r="G37" s="20" t="s">
        <v>852</v>
      </c>
      <c r="H37" s="20"/>
      <c r="I37" s="262" t="s">
        <v>796</v>
      </c>
      <c r="J37" s="246" t="str">
        <f t="shared" si="16"/>
        <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744</v>
      </c>
      <c r="D38" s="260" t="s">
        <v>805</v>
      </c>
      <c r="E38" s="126" t="s">
        <v>773</v>
      </c>
      <c r="F38" s="261"/>
      <c r="G38" s="20" t="s">
        <v>853</v>
      </c>
      <c r="H38" s="20"/>
      <c r="I38" s="262" t="s">
        <v>790</v>
      </c>
      <c r="J38" s="246" t="str">
        <f t="shared" si="16"/>
        <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745</v>
      </c>
      <c r="D39" s="260" t="s">
        <v>806</v>
      </c>
      <c r="E39" s="126" t="s">
        <v>774</v>
      </c>
      <c r="F39" s="261"/>
      <c r="G39" s="20" t="s">
        <v>854</v>
      </c>
      <c r="H39" s="20"/>
      <c r="I39" s="262" t="s">
        <v>797</v>
      </c>
      <c r="J39" s="246" t="str">
        <f t="shared" si="16"/>
        <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746</v>
      </c>
      <c r="D40" s="260" t="s">
        <v>807</v>
      </c>
      <c r="E40" s="126" t="s">
        <v>775</v>
      </c>
      <c r="F40" s="261" t="s">
        <v>856</v>
      </c>
      <c r="G40" s="20" t="s">
        <v>855</v>
      </c>
      <c r="H40" s="20"/>
      <c r="I40" s="19" t="s">
        <v>786</v>
      </c>
      <c r="J40" s="246" t="str">
        <f t="shared" si="16"/>
        <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747</v>
      </c>
      <c r="D41" s="260" t="s">
        <v>808</v>
      </c>
      <c r="E41" s="126" t="s">
        <v>776</v>
      </c>
      <c r="F41" s="261"/>
      <c r="G41" s="20" t="s">
        <v>857</v>
      </c>
      <c r="H41" s="20"/>
      <c r="I41" s="19" t="s">
        <v>793</v>
      </c>
      <c r="J41" s="246" t="str">
        <f t="shared" si="16"/>
        <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748</v>
      </c>
      <c r="D42" s="260" t="s">
        <v>808</v>
      </c>
      <c r="E42" s="126" t="s">
        <v>777</v>
      </c>
      <c r="F42" s="261"/>
      <c r="G42" s="20" t="s">
        <v>840</v>
      </c>
      <c r="H42" s="20"/>
      <c r="I42" s="262" t="s">
        <v>786</v>
      </c>
      <c r="J42" s="246" t="str">
        <f t="shared" si="16"/>
        <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749</v>
      </c>
      <c r="D43" s="260" t="s">
        <v>808</v>
      </c>
      <c r="E43" s="126" t="s">
        <v>778</v>
      </c>
      <c r="F43" s="261"/>
      <c r="G43" s="20" t="s">
        <v>833</v>
      </c>
      <c r="H43" s="20"/>
      <c r="I43" s="19" t="s">
        <v>798</v>
      </c>
      <c r="J43" s="246" t="str">
        <f t="shared" si="16"/>
        <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750</v>
      </c>
      <c r="D44" s="260" t="s">
        <v>809</v>
      </c>
      <c r="E44" s="126" t="s">
        <v>779</v>
      </c>
      <c r="F44" s="261"/>
      <c r="G44" s="20" t="s">
        <v>855</v>
      </c>
      <c r="H44" s="20"/>
      <c r="I44" s="262" t="s">
        <v>799</v>
      </c>
      <c r="J44" s="246" t="str">
        <f t="shared" si="16"/>
        <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751</v>
      </c>
      <c r="D45" s="260" t="s">
        <v>810</v>
      </c>
      <c r="E45" s="126" t="s">
        <v>780</v>
      </c>
      <c r="F45" s="261"/>
      <c r="G45" s="20" t="s">
        <v>859</v>
      </c>
      <c r="H45" s="20" t="s">
        <v>860</v>
      </c>
      <c r="I45" s="19" t="s">
        <v>786</v>
      </c>
      <c r="J45" s="246" t="str">
        <f t="shared" si="16"/>
        <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751</v>
      </c>
      <c r="D46" s="260" t="s">
        <v>810</v>
      </c>
      <c r="E46" s="126" t="s">
        <v>781</v>
      </c>
      <c r="F46" s="261"/>
      <c r="G46" s="20" t="s">
        <v>858</v>
      </c>
      <c r="H46" s="20" t="s">
        <v>861</v>
      </c>
      <c r="I46" s="19" t="s">
        <v>786</v>
      </c>
      <c r="J46" s="246" t="str">
        <f t="shared" si="16"/>
        <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752</v>
      </c>
      <c r="D47" s="260" t="s">
        <v>811</v>
      </c>
      <c r="E47" s="126" t="s">
        <v>782</v>
      </c>
      <c r="F47" s="261"/>
      <c r="G47" s="20" t="s">
        <v>859</v>
      </c>
      <c r="H47" s="20"/>
      <c r="I47" s="19" t="s">
        <v>800</v>
      </c>
      <c r="J47" s="246" t="str">
        <f t="shared" si="16"/>
        <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753</v>
      </c>
      <c r="D48" s="260" t="s">
        <v>812</v>
      </c>
      <c r="E48" s="126" t="s">
        <v>783</v>
      </c>
      <c r="F48" s="261"/>
      <c r="G48" s="20" t="s">
        <v>859</v>
      </c>
      <c r="H48" s="20"/>
      <c r="I48" s="262" t="s">
        <v>796</v>
      </c>
      <c r="J48" s="246" t="str">
        <f t="shared" si="16"/>
        <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754</v>
      </c>
      <c r="D49" s="260" t="s">
        <v>875</v>
      </c>
      <c r="E49" s="126" t="s">
        <v>784</v>
      </c>
      <c r="F49" s="261" t="s">
        <v>856</v>
      </c>
      <c r="G49" s="20" t="s">
        <v>862</v>
      </c>
      <c r="H49" s="20" t="s">
        <v>865</v>
      </c>
      <c r="I49" s="19" t="s">
        <v>801</v>
      </c>
      <c r="J49" s="246" t="str">
        <f t="shared" si="16"/>
        <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t="s">
        <v>871</v>
      </c>
      <c r="C50" s="62" t="s">
        <v>755</v>
      </c>
      <c r="D50" s="260" t="s">
        <v>813</v>
      </c>
      <c r="E50" s="126" t="s">
        <v>758</v>
      </c>
      <c r="F50" s="261"/>
      <c r="G50" s="20" t="s">
        <v>835</v>
      </c>
      <c r="H50" s="20" t="s">
        <v>835</v>
      </c>
      <c r="I50" s="19" t="s">
        <v>787</v>
      </c>
      <c r="J50" s="246" t="str">
        <f t="shared" si="16"/>
        <v>*</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t="s">
        <v>871</v>
      </c>
      <c r="C51" s="62" t="s">
        <v>756</v>
      </c>
      <c r="D51" s="260" t="s">
        <v>813</v>
      </c>
      <c r="E51" s="126" t="s">
        <v>758</v>
      </c>
      <c r="F51" s="261"/>
      <c r="G51" s="20" t="s">
        <v>835</v>
      </c>
      <c r="H51" s="20" t="s">
        <v>835</v>
      </c>
      <c r="I51" s="19" t="s">
        <v>790</v>
      </c>
      <c r="J51" s="246" t="str">
        <f t="shared" si="16"/>
        <v>*</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4">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0FCF6D97-9C00-4513-91B6-D41A7F3FF655}">
      <formula1>"* ,[OTHER] Visual"</formula1>
    </dataValidation>
    <dataValidation type="list" allowBlank="1" showInputMessage="1" showErrorMessage="1" sqref="D8" xr:uid="{9735D32E-9ED6-4A54-8ED8-E7B29F447371}">
      <formula1>"* ,[ASTM] D6045,[ASTM] D156"</formula1>
    </dataValidation>
    <dataValidation type="list" allowBlank="1" showInputMessage="1" showErrorMessage="1" sqref="D9" xr:uid="{50D82F2A-5497-42BF-9C42-8C2592AA3C1E}">
      <formula1>"* ,[IP] IP 423,[ASTM] D5452 Appendix X1"</formula1>
    </dataValidation>
    <dataValidation type="list" allowBlank="1" showInputMessage="1" showErrorMessage="1" sqref="D10 D11 D15" xr:uid="{AE496672-A550-40D0-B225-0B0BE15D389E}">
      <formula1>"* ,[IP] IP 565,[IP] IP 564"</formula1>
    </dataValidation>
    <dataValidation type="list" allowBlank="1" showInputMessage="1" showErrorMessage="1" sqref="D12 D13 D14" xr:uid="{F2CBD7D1-C8A9-4CF8-9999-74EE4F46BDB5}">
      <formula1>"* ,[IP] IP 564,[IP] IP 565"</formula1>
    </dataValidation>
    <dataValidation type="list" allowBlank="1" showInputMessage="1" showErrorMessage="1" sqref="D16" xr:uid="{6001B144-5FB9-4244-A944-B5D8CCD4D46E}">
      <formula1>"* ,[IP] IP 354,[ASTM] D3242"</formula1>
    </dataValidation>
    <dataValidation type="list" allowBlank="1" showInputMessage="1" showErrorMessage="1" sqref="D17" xr:uid="{2E42666E-FBD6-47CC-AE74-43BA77DF8EA6}">
      <formula1>"* ,[IP] IP 156,[ASTM] D1319"</formula1>
    </dataValidation>
    <dataValidation type="list" allowBlank="1" showInputMessage="1" showErrorMessage="1" sqref="D18" xr:uid="{EA574F1A-C766-4B2A-9B42-D7125E9D75C0}">
      <formula1>"* ,[ASTM] D6379,[IP] IP 436"</formula1>
    </dataValidation>
    <dataValidation type="list" allowBlank="1" showInputMessage="1" showErrorMessage="1" sqref="D19" xr:uid="{69286D2A-7737-44CB-8E0E-507AE62472EE}">
      <formula1>"* ,[IP] IP 336"</formula1>
    </dataValidation>
    <dataValidation type="list" allowBlank="1" showInputMessage="1" showErrorMessage="1" sqref="D20" xr:uid="{BB49E05F-6D40-4EAA-8143-2F3F7302683F}">
      <formula1>"* ,[IP] IP 342,[ASTM] D3227"</formula1>
    </dataValidation>
    <dataValidation type="list" allowBlank="1" showInputMessage="1" showErrorMessage="1" sqref="D21" xr:uid="{2C824F54-A789-4BAC-ABD6-03F6CD7CBFC4}">
      <formula1>"[IP] IP 30"</formula1>
    </dataValidation>
    <dataValidation type="list" allowBlank="1" showInputMessage="1" showErrorMessage="1" sqref="D22 D23 D24" xr:uid="{8CB29C88-A85C-4E8F-9CFD-A0B1D6C0595A}">
      <formula1>"* ,[OTHER] Calculation"</formula1>
    </dataValidation>
    <dataValidation type="list" allowBlank="1" showInputMessage="1" showErrorMessage="1" sqref="D25" xr:uid="{77D22017-FECC-48FA-B545-59103395ECC9}">
      <formula1>"* ,[OTHER] Not Listed"</formula1>
    </dataValidation>
    <dataValidation type="list" allowBlank="1" showInputMessage="1" showErrorMessage="1" sqref="D26 D27 D30 D31" xr:uid="{7E95BF60-1534-4125-B1B2-04EF322AD375}">
      <formula1>"* ,[ASTM] D86,[IP] IP 123"</formula1>
    </dataValidation>
    <dataValidation type="list" allowBlank="1" showInputMessage="1" showErrorMessage="1" sqref="D28 D29 D32" xr:uid="{FC4AC35C-E8A3-44EE-B0D3-76665EDB9A2B}">
      <formula1>"* ,[IP] IP 123,[ASTM] D86"</formula1>
    </dataValidation>
    <dataValidation type="list" allowBlank="1" showInputMessage="1" showErrorMessage="1" sqref="D33" xr:uid="{DEEF5125-E486-459F-8C0D-E9792E8974BF}">
      <formula1>"* ,[IP] IP 170"</formula1>
    </dataValidation>
    <dataValidation type="list" allowBlank="1" showInputMessage="1" showErrorMessage="1" sqref="D34" xr:uid="{64DCF89D-4210-48EC-A925-75DF5028A0B2}">
      <formula1>"* ,[ASTM] D4052,[IP] IP 365"</formula1>
    </dataValidation>
    <dataValidation type="list" allowBlank="1" showInputMessage="1" showErrorMessage="1" sqref="D35" xr:uid="{4F4C75E3-CCAA-45E2-8F07-228A78DD226B}">
      <formula1>"* ,[ASTM] D2386,[IP] IP 16"</formula1>
    </dataValidation>
    <dataValidation type="list" allowBlank="1" showInputMessage="1" showErrorMessage="1" sqref="D36" xr:uid="{8876D0B3-9A6C-45D5-8D1E-04E62E6E38F6}">
      <formula1>"* ,[ASTM] D445,[IP] IP 71"</formula1>
    </dataValidation>
    <dataValidation type="list" allowBlank="1" showInputMessage="1" showErrorMessage="1" sqref="D37" xr:uid="{12823175-FC33-4C86-B607-9AEA5E5DB99F}">
      <formula1>"* ,[ASTM] D1322,[IP] IP 57"</formula1>
    </dataValidation>
    <dataValidation type="list" allowBlank="1" showInputMessage="1" showErrorMessage="1" sqref="D38" xr:uid="{3C138E11-4283-4A85-99BE-9463C849E3A4}">
      <formula1>"* ,[ASTM] D1840"</formula1>
    </dataValidation>
    <dataValidation type="list" allowBlank="1" showInputMessage="1" showErrorMessage="1" sqref="D39" xr:uid="{E612D59B-15BA-442A-B563-DC076F45A91E}">
      <formula1>"* ,[ASTM] D3338,[IP] IP 12,[ASTM] D4809,[IP] IP 355"</formula1>
    </dataValidation>
    <dataValidation type="list" allowBlank="1" showInputMessage="1" showErrorMessage="1" sqref="D40" xr:uid="{C3C38D48-D027-4300-AC3E-6D43186A2092}">
      <formula1>"* ,[IP] IP 154,[ASTM] D130"</formula1>
    </dataValidation>
    <dataValidation type="list" allowBlank="1" showInputMessage="1" showErrorMessage="1" sqref="D41 D42 D43" xr:uid="{2AB6FB23-B5AA-40E6-A772-2394B782E029}">
      <formula1>"* ,[ASTM] D3241,[IP] IP 323"</formula1>
    </dataValidation>
    <dataValidation type="list" allowBlank="1" showInputMessage="1" showErrorMessage="1" sqref="D44" xr:uid="{9BF9BE9C-664A-4536-91F2-685B10107F97}">
      <formula1>"* ,[IP] IP 540"</formula1>
    </dataValidation>
    <dataValidation type="list" allowBlank="1" showInputMessage="1" showErrorMessage="1" sqref="D45 D46" xr:uid="{AFAAACD0-B169-4E26-94D8-FC71D00375DE}">
      <formula1>"* ,[ASTM] D3948"</formula1>
    </dataValidation>
    <dataValidation type="list" allowBlank="1" showInputMessage="1" showErrorMessage="1" sqref="D47" xr:uid="{29E9A5DD-5AE4-443F-A559-A6986DDE2DF7}">
      <formula1>"* ,[ASTM] D2624,[IP] IP 274"</formula1>
    </dataValidation>
    <dataValidation type="list" allowBlank="1" showInputMessage="1" showErrorMessage="1" sqref="D48" xr:uid="{C67D7DE5-D8A7-4940-979F-E59911CAAC1C}">
      <formula1>"* ,[ASTM] D5001"</formula1>
    </dataValidation>
    <dataValidation type="list" allowBlank="1" showInputMessage="1" showErrorMessage="1" sqref="D49" xr:uid="{D2ED6E12-8D9A-4C5B-99D2-F5E9679F9619}">
      <formula1>"* ,[IP] IP 585"</formula1>
    </dataValidation>
    <dataValidation type="list" allowBlank="1" showInputMessage="1" showErrorMessage="1" sqref="D50" xr:uid="{53B74132-B310-4D64-AAA1-CED2871D5098}">
      <formula1>"* ,[ASTM] Additive - Static Dissipator (declaration)"</formula1>
    </dataValidation>
    <dataValidation type="list" allowBlank="1" showInputMessage="1" showErrorMessage="1" sqref="D51" xr:uid="{BBF988AF-2230-4FFF-A23D-1F6647DE4C6F}">
      <formula1>"* ,[OTHER] FED-STD-791-5327.4"</formula1>
    </dataValidation>
    <dataValidation type="list" allowBlank="1" showInputMessage="1" showErrorMessage="1" sqref="I7" xr:uid="{17622CF2-C5DF-4581-B594-A6476D50DB13}">
      <formula1>"pass/fail,visual"</formula1>
    </dataValidation>
    <dataValidation type="list" allowBlank="1" showInputMessage="1" showErrorMessage="1" sqref="I8" xr:uid="{C6557E5B-18E7-45B1-A39A-9CBA095A7A2F}">
      <formula1>"haze no,Min,Max,pass/fail,rating,visual"</formula1>
    </dataValidation>
    <dataValidation type="list" allowBlank="1" showInputMessage="1" showErrorMessage="1" sqref="I9" xr:uid="{1FCB4993-8857-4155-BB4D-B7EBC43C4A45}">
      <formula1>"mg/l,rating"</formula1>
    </dataValidation>
    <dataValidation type="list" allowBlank="1" showInputMessage="1" showErrorMessage="1" sqref="I10 I11 I12" xr:uid="{2ABD8206-EE52-49BB-8779-333B1721BFC5}">
      <formula1>"cumulative counts per ml"</formula1>
    </dataValidation>
    <dataValidation type="list" allowBlank="1" showInputMessage="1" showErrorMessage="1" sqref="I13 I14 I15" xr:uid="{1CCB96E9-3A38-497C-9BD9-15054B337919}">
      <formula1>"n/a"</formula1>
    </dataValidation>
    <dataValidation type="list" allowBlank="1" showInputMessage="1" showErrorMessage="1" sqref="I16" xr:uid="{13828B20-F682-4D86-BBDE-BDA320392C95}">
      <formula1>"mg KOH/g,mg NaOH/100ml,mg NaOH/g,mg/kg,mg/l,pH"</formula1>
    </dataValidation>
    <dataValidation type="list" allowBlank="1" showInputMessage="1" showErrorMessage="1" sqref="I17" xr:uid="{53BE5BD8-CCE1-45AB-BB28-F9BF2C8F0DD8}">
      <formula1>"ppm,%liq vol,%m/m,%mole,%wt,%vol"</formula1>
    </dataValidation>
    <dataValidation type="list" allowBlank="1" showInputMessage="1" showErrorMessage="1" sqref="I18" xr:uid="{DF878320-EFCE-4634-AFA4-F95E20D7AF67}">
      <formula1>"ppm,%liq vol,%m/m,%mole,%vol"</formula1>
    </dataValidation>
    <dataValidation type="list" allowBlank="1" showInputMessage="1" showErrorMessage="1" sqref="I19" xr:uid="{3B117B74-7D2E-4608-BBC1-150563CAFD91}">
      <formula1>"mg/kg,mg/l,ppm,ppm w/w,%m,%m/m,%wt"</formula1>
    </dataValidation>
    <dataValidation type="list" allowBlank="1" showInputMessage="1" showErrorMessage="1" sqref="I20" xr:uid="{4E430377-99A6-4E7A-BE11-82EA2C865EDF}">
      <formula1>"mg/kg,mg/m³,ppm,%m,%m/m,%mole,%wt,%vol"</formula1>
    </dataValidation>
    <dataValidation type="list" allowBlank="1" showInputMessage="1" showErrorMessage="1" sqref="I21" xr:uid="{4FCDA3B4-BB97-43AD-AF30-9DC22D11E0BB}">
      <formula1>"pos/neg,pass/fail"</formula1>
    </dataValidation>
    <dataValidation type="list" allowBlank="1" showInputMessage="1" showErrorMessage="1" sqref="I22 I23 I24 I25 I51" xr:uid="{F87DF162-00A8-4645-BEC1-C5D52B5549BF}">
      <formula1>"%vol"</formula1>
    </dataValidation>
    <dataValidation type="list" allowBlank="1" showInputMessage="1" showErrorMessage="1" sqref="I26 I27 I28 I29 I30 I32" xr:uid="{874B6FBB-D1C6-401F-BEF7-379B87147230}">
      <formula1>"°C,°F,%,%vol"</formula1>
    </dataValidation>
    <dataValidation type="list" allowBlank="1" showInputMessage="1" showErrorMessage="1" sqref="I31" xr:uid="{32784A76-9234-4606-935A-D5A3C969A2CD}">
      <formula1>"°C,°F,mg/kg,%,%vol"</formula1>
    </dataValidation>
    <dataValidation type="list" allowBlank="1" showInputMessage="1" showErrorMessage="1" sqref="I33 I35" xr:uid="{0B817F3E-A766-4455-AFE8-66819963BBAE}">
      <formula1>"°C,°F"</formula1>
    </dataValidation>
    <dataValidation type="list" allowBlank="1" showInputMessage="1" showErrorMessage="1" sqref="I34" xr:uid="{CCA2922B-8292-4430-8299-77E141309CCA}">
      <formula1>"g/ cc,g/l,g/cm³,g/ml,kg/m³,kg/l,n/a,tonne/m³"</formula1>
    </dataValidation>
    <dataValidation type="list" allowBlank="1" showInputMessage="1" showErrorMessage="1" sqref="I36" xr:uid="{6CF17DD1-F621-494B-AA5B-0B024FD65D69}">
      <formula1>"cSt,Engler,mm²/s,Pa·s,SUS"</formula1>
    </dataValidation>
    <dataValidation type="list" allowBlank="1" showInputMessage="1" showErrorMessage="1" sqref="I37" xr:uid="{126F1FF0-350F-4BB1-B450-A8BF027A54F0}">
      <formula1>"°C,°F,mm"</formula1>
    </dataValidation>
    <dataValidation type="list" allowBlank="1" showInputMessage="1" showErrorMessage="1" sqref="I38" xr:uid="{0A33A7D2-126A-4EB8-B3F0-F20A2649CAE7}">
      <formula1>"ppm,%m/m,%mole,%vol"</formula1>
    </dataValidation>
    <dataValidation type="list" allowBlank="1" showInputMessage="1" showErrorMessage="1" sqref="I39" xr:uid="{07E6DC49-CE7A-483C-A21A-0AD949D99B74}">
      <formula1>"Btu/lb,kcal/kg,MJ/kg"</formula1>
    </dataValidation>
    <dataValidation type="list" allowBlank="1" showInputMessage="1" showErrorMessage="1" sqref="I40 I45 I46" xr:uid="{62611896-0795-4B62-A1F1-51B5B1C82959}">
      <formula1>"rating"</formula1>
    </dataValidation>
    <dataValidation type="list" allowBlank="1" showInputMessage="1" showErrorMessage="1" sqref="I41" xr:uid="{DEB7847D-6852-45D7-9F74-DFBE2D491B98}">
      <formula1>"°C"</formula1>
    </dataValidation>
    <dataValidation type="list" allowBlank="1" showInputMessage="1" showErrorMessage="1" sqref="I42" xr:uid="{7E2399A4-A778-4FA0-A5D5-B4AD5C7E61FF}">
      <formula1>"Min,Max,rating"</formula1>
    </dataValidation>
    <dataValidation type="list" allowBlank="1" showInputMessage="1" showErrorMessage="1" sqref="I43" xr:uid="{DD572222-1E63-4B1D-B9D8-FD894F49ACFA}">
      <formula1>"mm Hg"</formula1>
    </dataValidation>
    <dataValidation type="list" allowBlank="1" showInputMessage="1" showErrorMessage="1" sqref="I44" xr:uid="{14393D13-7771-4BFA-899E-90C2CB9A9198}">
      <formula1>"g/m³,mg/100ml,mg/l"</formula1>
    </dataValidation>
    <dataValidation type="list" allowBlank="1" showInputMessage="1" showErrorMessage="1" sqref="I47" xr:uid="{8BC5B394-DF2B-4FA2-81FA-42485454AE48}">
      <formula1>"pS/m"</formula1>
    </dataValidation>
    <dataValidation type="list" allowBlank="1" showInputMessage="1" showErrorMessage="1" sqref="I48" xr:uid="{67F3E3CE-589B-4118-9F67-14F97EC3ECC0}">
      <formula1>"μm,mm"</formula1>
    </dataValidation>
    <dataValidation type="list" allowBlank="1" showInputMessage="1" showErrorMessage="1" sqref="I49" xr:uid="{BA63E443-7C79-4631-A7B1-3876162227C7}">
      <formula1>"ppm v/v"</formula1>
    </dataValidation>
    <dataValidation type="list" allowBlank="1" showInputMessage="1" showErrorMessage="1" sqref="I50" xr:uid="{A98A28AD-1BDF-4E8E-AFB5-49A43E88F0C6}">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xr:uid="{835BCF3D-058C-40CB-A9B7-CC4B5AF1482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230</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3">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232</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233</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234</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235</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236</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237</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238</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45241</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1</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Kai (Yosu)</cp:lastModifiedBy>
  <cp:lastPrinted>2023-08-21T01:31:29Z</cp:lastPrinted>
  <dcterms:created xsi:type="dcterms:W3CDTF">2022-11-23T02:24:26Z</dcterms:created>
  <dcterms:modified xsi:type="dcterms:W3CDTF">2023-11-11T10:10:29Z</dcterms:modified>
</cp:coreProperties>
</file>