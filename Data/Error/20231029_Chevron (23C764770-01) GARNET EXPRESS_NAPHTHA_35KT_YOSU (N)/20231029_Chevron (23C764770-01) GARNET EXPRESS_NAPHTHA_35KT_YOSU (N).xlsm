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brian_song\Desktop\Navarik\3. NAVARIK 작업폴더\20231029_Chevron (23C764770-01) GARNET EXPRESS_NAPHTHA_35KT_YOSU (N)\"/>
    </mc:Choice>
  </mc:AlternateContent>
  <xr:revisionPtr revIDLastSave="0" documentId="13_ncr:1_{B071A44B-AC60-488E-9173-0A74BC27CB03}" xr6:coauthVersionLast="47" xr6:coauthVersionMax="47" xr10:uidLastSave="{00000000-0000-0000-0000-000000000000}"/>
  <bookViews>
    <workbookView xWindow="0" yWindow="0" windowWidth="11520" windowHeight="12360" tabRatio="688" activeTab="2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F36" i="1"/>
  <c r="G36" i="1"/>
  <c r="G37" i="1" s="1"/>
  <c r="E36" i="1"/>
  <c r="E37" i="1" s="1"/>
  <c r="D36" i="1"/>
  <c r="D37" i="1" s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24" i="1"/>
  <c r="C36" i="1"/>
  <c r="C37" i="1" s="1"/>
</calcChain>
</file>

<file path=xl/sharedStrings.xml><?xml version="1.0" encoding="utf-8"?>
<sst xmlns="http://schemas.openxmlformats.org/spreadsheetml/2006/main" count="1238" uniqueCount="786">
  <si>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</si>
  <si>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</si>
  <si>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</si>
  <si>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</si>
  <si>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</si>
  <si>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</si>
  <si>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</si>
  <si>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</si>
  <si>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</si>
  <si>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</si>
  <si>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</si>
  <si>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</si>
  <si>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</si>
  <si>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</si>
  <si>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</si>
  <si>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</si>
  <si>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</si>
  <si>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</si>
  <si>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</si>
  <si>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</si>
  <si>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</si>
  <si>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</si>
  <si>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</si>
  <si>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</si>
  <si>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</si>
  <si>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</si>
  <si>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</si>
  <si>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</si>
  <si>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</si>
  <si>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</si>
  <si>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</si>
  <si>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</si>
  <si>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</si>
  <si>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</si>
  <si>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</si>
  <si>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</si>
  <si>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</si>
  <si>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</si>
  <si>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</si>
  <si>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</si>
  <si>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</si>
  <si>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</si>
  <si>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</si>
  <si>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</si>
  <si>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</si>
  <si>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</si>
  <si>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</si>
  <si>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</si>
  <si>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</si>
  <si>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</si>
  <si>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</si>
  <si>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</si>
  <si>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</si>
  <si>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</si>
  <si>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</si>
  <si>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</si>
  <si>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</si>
  <si>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</si>
  <si>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</si>
  <si>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</si>
  <si>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</si>
  <si>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</si>
  <si>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</si>
  <si>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</si>
  <si>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</si>
  <si>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</si>
  <si>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</si>
  <si>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</si>
  <si>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</si>
  <si>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</si>
  <si>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</si>
  <si>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</si>
  <si>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</si>
  <si>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</si>
  <si>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</si>
  <si>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</si>
  <si>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</si>
  <si>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</si>
  <si>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</si>
  <si>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</si>
  <si>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</si>
  <si>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</si>
  <si>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</si>
  <si>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</si>
  <si>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</si>
  <si>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</si>
  <si>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</si>
  <si>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</si>
  <si>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</si>
  <si>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</si>
  <si>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</si>
  <si>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</si>
  <si>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</si>
  <si>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</si>
  <si>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</si>
  <si>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</si>
  <si>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</si>
  <si>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</si>
  <si>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</si>
  <si>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</si>
  <si>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</si>
  <si>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</si>
  <si>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</si>
  <si>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</si>
  <si>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</si>
  <si>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</si>
  <si>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</si>
  <si>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</si>
  <si>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</si>
  <si>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</si>
  <si>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</si>
  <si>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</si>
  <si>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</si>
  <si>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</si>
  <si>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</si>
  <si>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</si>
  <si>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</si>
  <si>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</si>
  <si>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</si>
  <si>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</si>
  <si>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</si>
  <si>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</si>
  <si>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</si>
  <si>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</si>
  <si>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</si>
  <si>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</si>
  <si>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</si>
  <si>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</si>
  <si>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</si>
  <si>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</si>
  <si>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</si>
  <si>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</si>
  <si>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</si>
  <si>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</si>
  <si>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</si>
  <si>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</si>
  <si>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</si>
  <si>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</si>
  <si>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</si>
  <si>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</si>
  <si>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</si>
  <si>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</si>
  <si>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</si>
  <si>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</si>
  <si>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</si>
  <si>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</si>
  <si>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</si>
  <si>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</si>
  <si>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</si>
  <si>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</si>
  <si>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</si>
  <si>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</si>
  <si>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</si>
  <si>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</si>
  <si>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</si>
  <si>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</si>
  <si>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</si>
  <si>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</si>
  <si>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</si>
  <si>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</si>
  <si>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</si>
  <si>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</si>
  <si>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</si>
  <si>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</si>
  <si>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</si>
  <si>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</si>
  <si>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</si>
  <si>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</si>
  <si>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</si>
  <si>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</si>
  <si>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</si>
  <si>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</si>
  <si>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</si>
  <si>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</si>
  <si>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</si>
  <si>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</si>
  <si>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</si>
  <si>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</si>
  <si>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</si>
  <si>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</si>
  <si>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</si>
  <si>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</si>
  <si>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</si>
  <si>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</si>
  <si>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</si>
  <si>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</si>
  <si>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</si>
  <si>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</si>
  <si>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</si>
  <si>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</si>
  <si>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</si>
  <si>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</si>
  <si>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</si>
  <si>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</si>
  <si>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</si>
  <si>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</si>
  <si>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</si>
  <si>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</si>
  <si>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</si>
  <si>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</si>
  <si>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</si>
  <si>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</si>
  <si>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</si>
  <si>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</si>
  <si>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</si>
  <si>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</si>
  <si>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</si>
  <si>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</si>
  <si>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</si>
  <si>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</si>
  <si>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</si>
  <si>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</si>
  <si>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</si>
  <si>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</si>
  <si>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</si>
  <si>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</si>
  <si>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</si>
  <si>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</si>
  <si>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</si>
  <si>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</si>
  <si>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</si>
  <si>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</si>
  <si>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</si>
  <si>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</si>
  <si>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</si>
  <si>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</si>
  <si>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</si>
  <si>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</si>
  <si>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</si>
  <si>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</si>
  <si>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</si>
  <si>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</si>
  <si>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</si>
  <si>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</si>
  <si>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</si>
  <si>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</si>
  <si>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</si>
  <si>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</si>
  <si>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</si>
  <si>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</si>
  <si>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</si>
  <si>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</si>
  <si>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</si>
  <si>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</si>
  <si>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</si>
  <si>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</si>
  <si>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</si>
  <si>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</si>
  <si>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</si>
  <si>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</si>
  <si>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</si>
  <si>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</si>
  <si>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</si>
  <si>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</si>
  <si>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</si>
  <si>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</si>
  <si>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</si>
  <si>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</si>
  <si>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</si>
  <si>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</si>
  <si>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</si>
  <si>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</si>
  <si>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</si>
  <si>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</si>
  <si>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</si>
  <si>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</si>
  <si>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</si>
  <si>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</si>
  <si>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</si>
  <si>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</si>
  <si>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</si>
  <si>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</si>
  <si>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</si>
  <si>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</si>
  <si>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</si>
  <si>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</si>
  <si>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</si>
  <si>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</si>
  <si>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</si>
  <si>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</si>
  <si>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</si>
  <si>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</si>
  <si>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</si>
  <si>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</si>
  <si>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</si>
  <si>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</si>
  <si>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</si>
  <si>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</si>
  <si>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</si>
  <si>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</si>
  <si>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</si>
  <si>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</si>
  <si>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</si>
  <si>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</si>
  <si>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</si>
  <si>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</si>
  <si>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</si>
  <si>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</si>
  <si>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</si>
  <si>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</si>
  <si>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</si>
  <si>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</si>
  <si>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</si>
  <si>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</si>
  <si>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</si>
  <si>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</si>
  <si>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</si>
  <si>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</si>
  <si>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</si>
  <si>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</si>
  <si>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</si>
  <si>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</si>
  <si>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</si>
  <si>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</si>
  <si>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</si>
  <si>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</si>
  <si>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</si>
  <si>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</si>
  <si>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</si>
  <si>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</si>
  <si>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</si>
  <si>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</si>
  <si>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</si>
  <si>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</si>
  <si>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</si>
  <si>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</si>
  <si>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</si>
  <si>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</si>
  <si>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</si>
  <si>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</si>
  <si>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</si>
  <si>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</si>
  <si>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</si>
  <si>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</si>
  <si>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</si>
  <si>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</si>
  <si>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</si>
  <si>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</si>
  <si>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</si>
  <si>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</si>
  <si>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</si>
  <si>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</si>
  <si>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</si>
  <si>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</si>
  <si>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</si>
  <si>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</si>
  <si>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</si>
  <si>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</si>
  <si>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</si>
  <si>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</si>
  <si>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</si>
  <si>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</si>
  <si>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</si>
  <si>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</si>
  <si>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</si>
  <si>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</si>
  <si>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</si>
  <si>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</si>
  <si>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</si>
  <si>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</si>
  <si>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</si>
  <si>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</si>
  <si>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</si>
  <si>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</si>
  <si>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</si>
  <si>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</si>
  <si>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</si>
  <si>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</si>
  <si>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</si>
  <si>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</si>
  <si>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</si>
  <si>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</si>
  <si>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</si>
  <si>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</si>
  <si>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</si>
  <si>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</si>
  <si>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</si>
  <si>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</si>
  <si>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</si>
  <si>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</si>
  <si>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</si>
  <si>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</si>
  <si>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</si>
  <si>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</si>
  <si>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</si>
  <si>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</si>
  <si>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</si>
  <si>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</si>
  <si>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</si>
  <si>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</si>
  <si>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</si>
  <si>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</si>
  <si>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</si>
  <si>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</si>
  <si>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</si>
  <si>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</si>
  <si>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</si>
  <si>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</si>
  <si>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</si>
  <si>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</si>
  <si>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</si>
  <si>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</si>
  <si>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</si>
  <si>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</si>
  <si>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</si>
  <si>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</si>
  <si>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</si>
  <si>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</si>
  <si>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</si>
  <si>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</si>
  <si>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</si>
  <si>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</si>
  <si>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</si>
  <si>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</si>
  <si>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</si>
  <si>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</si>
  <si>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</si>
  <si>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</si>
  <si>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</si>
  <si>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</si>
  <si>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</si>
  <si>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</si>
  <si>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</si>
  <si>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</si>
  <si>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</si>
  <si>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</si>
  <si>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</si>
  <si>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</si>
  <si>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</si>
  <si>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</si>
  <si>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</si>
  <si>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</si>
  <si>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</si>
  <si>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</si>
  <si>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</si>
  <si>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</si>
  <si>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</si>
  <si>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</si>
  <si>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</si>
  <si>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</si>
  <si>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</si>
  <si>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</si>
  <si>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</si>
  <si>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</si>
  <si>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</si>
  <si>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</si>
  <si>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</si>
  <si>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</si>
  <si>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</si>
  <si>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</si>
  <si>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</si>
  <si>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</si>
  <si>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</si>
  <si>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</si>
  <si>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</si>
  <si>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</si>
  <si>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</si>
  <si>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</si>
  <si>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</si>
  <si>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</si>
  <si>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</si>
  <si>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</si>
  <si>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</si>
  <si>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</si>
  <si>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</si>
  <si>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</si>
  <si>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</si>
  <si>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</si>
  <si>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</si>
  <si>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</si>
  <si>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</si>
  <si>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</si>
  <si>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</si>
  <si>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</si>
  <si>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</si>
  <si>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</si>
  <si>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</si>
  <si>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</si>
  <si>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</si>
  <si>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</si>
  <si>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</si>
  <si>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</si>
  <si>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</si>
  <si>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</si>
  <si>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</si>
  <si>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</si>
  <si>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</si>
  <si>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</si>
  <si>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</si>
  <si>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</si>
  <si>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</si>
  <si>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</si>
  <si>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</si>
  <si>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</si>
  <si>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</si>
  <si>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</si>
  <si>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</si>
  <si>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</si>
  <si>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</si>
  <si>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</si>
  <si>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</si>
  <si>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</si>
  <si>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</si>
  <si>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</si>
  <si>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</si>
  <si>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</si>
  <si>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</si>
  <si>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</si>
  <si>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</si>
  <si>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</si>
  <si>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</si>
  <si>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</si>
  <si>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</si>
  <si>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</si>
  <si>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</si>
  <si>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</si>
  <si>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</si>
  <si>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</si>
  <si>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</si>
  <si>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</si>
  <si>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</si>
  <si>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</si>
  <si>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</si>
  <si>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</si>
  <si>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</si>
  <si>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</si>
  <si>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</si>
  <si>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</si>
  <si>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</si>
  <si>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</si>
  <si>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</si>
  <si>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</si>
  <si>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</si>
  <si>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</si>
  <si>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</si>
  <si>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</si>
  <si>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</si>
  <si>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</si>
  <si>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</si>
  <si>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</si>
  <si>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</si>
  <si>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</si>
  <si>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</si>
  <si>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</si>
  <si>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</si>
  <si>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</si>
  <si>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</si>
  <si>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</si>
  <si>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</si>
  <si>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</si>
  <si>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</si>
  <si>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</si>
  <si>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</si>
  <si>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</si>
  <si>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</si>
  <si>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</si>
  <si>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</si>
  <si>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</si>
  <si>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</si>
  <si>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</si>
  <si>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</si>
  <si>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</si>
  <si>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</si>
  <si>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</si>
  <si>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</si>
  <si>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</si>
  <si>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</si>
  <si>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</si>
  <si>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</si>
  <si>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</si>
  <si>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</si>
  <si>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</si>
  <si>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</si>
  <si>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</si>
  <si>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</si>
  <si>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</si>
  <si>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</si>
  <si>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</si>
  <si>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</si>
  <si>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</si>
  <si>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</si>
  <si>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</si>
  <si>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</si>
  <si>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</si>
  <si>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</si>
  <si>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</si>
  <si>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</si>
  <si>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</si>
  <si>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</si>
  <si>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</si>
  <si>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</si>
  <si>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</si>
  <si>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</si>
  <si>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</si>
  <si>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</si>
  <si>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</si>
  <si>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</si>
  <si>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</si>
  <si>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</si>
  <si>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</si>
  <si>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</si>
  <si>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</si>
  <si>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</si>
  <si>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</si>
  <si>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</si>
  <si>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</si>
  <si>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</si>
  <si>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</si>
  <si>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</si>
  <si>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</si>
  <si>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</si>
  <si>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</si>
  <si>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</si>
  <si>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</si>
  <si>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</si>
  <si>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</si>
  <si>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</si>
  <si>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</si>
  <si>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</si>
  <si>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</si>
  <si>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</si>
  <si>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</si>
  <si>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</si>
  <si>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</si>
  <si>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</si>
  <si>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</si>
  <si>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</si>
  <si>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</si>
  <si>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</si>
  <si>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</si>
  <si>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</si>
  <si>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</si>
  <si>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</si>
  <si>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</si>
  <si>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</si>
  <si>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</si>
  <si>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</si>
  <si>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</si>
  <si>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</si>
  <si>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</si>
  <si>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</si>
  <si>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</si>
  <si>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</si>
  <si>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</si>
  <si>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</si>
  <si>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</si>
  <si>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</si>
  <si>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</si>
  <si>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</si>
  <si>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</si>
  <si>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</si>
  <si>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</si>
  <si>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</si>
  <si>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</si>
  <si>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</si>
  <si>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</si>
  <si>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</si>
  <si>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</si>
  <si>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</si>
  <si>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</si>
  <si>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</si>
  <si>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</si>
  <si>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</si>
  <si>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</si>
  <si>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</si>
  <si>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</si>
  <si>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</si>
  <si>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</si>
  <si>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</si>
  <si>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</si>
  <si>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</si>
  <si>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</si>
  <si>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</si>
  <si>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</si>
  <si>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</si>
  <si>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</si>
  <si>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</si>
  <si>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</si>
  <si>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</si>
  <si>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</si>
  <si>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</si>
  <si>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</si>
  <si>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</si>
  <si>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</si>
  <si>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</si>
  <si>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</si>
  <si>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</si>
  <si>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</si>
  <si>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</si>
  <si>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</si>
  <si>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</si>
  <si>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</si>
  <si>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</si>
  <si>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</si>
  <si>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</si>
  <si>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CHEVRON</t>
  </si>
  <si>
    <t>23C764770-01</t>
    <phoneticPr fontId="1" type="noConversion"/>
  </si>
  <si>
    <t>GARNET EXPRESS</t>
    <phoneticPr fontId="1" type="noConversion"/>
  </si>
  <si>
    <t>NAPHTHA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</si>
  <si>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</si>
  <si>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</si>
  <si>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</si>
  <si>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</si>
  <si>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</si>
  <si>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</si>
  <si>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</si>
  <si>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Naphtha - 35000 Metric tonnes</t>
  </si>
  <si>
    <t>*</t>
  </si>
  <si>
    <t>Specific Gravity @ 60/60F</t>
  </si>
  <si>
    <t>Saybolt Color (Saybolt Chromometer Method)</t>
  </si>
  <si>
    <t>Vapor Pressure - Reid Method (RVP)</t>
  </si>
  <si>
    <t>Sulfur Content</t>
  </si>
  <si>
    <t>PIONA by Multi-Dimensional Gas Chromatography</t>
  </si>
  <si>
    <t>Distillation IBP</t>
  </si>
  <si>
    <t>Distillation 50% Recovered</t>
  </si>
  <si>
    <t>Distillation 90% Recovered</t>
  </si>
  <si>
    <t>Distillation FBP</t>
  </si>
  <si>
    <t>Lead Content</t>
  </si>
  <si>
    <t>Mercury Content</t>
  </si>
  <si>
    <t>Chlorides in Liquid Aromatic Hydrocarbons or Petroleum Distillates</t>
  </si>
  <si>
    <t>Oxygenated Products</t>
  </si>
  <si>
    <t>Arsenic in Petroleum Naphthas by HG-AAS</t>
  </si>
  <si>
    <t>Nitrogen</t>
  </si>
  <si>
    <t>min = 0.730 (buy)</t>
  </si>
  <si>
    <t>n/a</t>
  </si>
  <si>
    <t>max = 10.5 (buy)</t>
  </si>
  <si>
    <t>max = 500 (buy)</t>
  </si>
  <si>
    <t>max = 1 (buy)</t>
  </si>
  <si>
    <t>min = 35 (buy)</t>
  </si>
  <si>
    <t>min = 70 (buy)</t>
  </si>
  <si>
    <t>min = 100 (buy)</t>
  </si>
  <si>
    <t>min = 120 / max = 155 (buy)</t>
  </si>
  <si>
    <t>max = 180 (buy)</t>
  </si>
  <si>
    <t>max = 50 (buy)</t>
  </si>
  <si>
    <t>max = 3 (buy)</t>
  </si>
  <si>
    <t>Report only</t>
  </si>
  <si>
    <t>rating</t>
  </si>
  <si>
    <t>ppm</t>
  </si>
  <si>
    <t>%vol</t>
  </si>
  <si>
    <t>°C</t>
  </si>
  <si>
    <t>ppb</t>
  </si>
  <si>
    <t>송재환</t>
    <phoneticPr fontId="1" type="noConversion"/>
  </si>
  <si>
    <t>Brian Song</t>
    <phoneticPr fontId="1" type="noConversion"/>
  </si>
  <si>
    <t>6B</t>
  </si>
  <si>
    <t>[ASTM] D4052</t>
  </si>
  <si>
    <t>[ASTM] D156</t>
  </si>
  <si>
    <t>[ASTM] D323</t>
  </si>
  <si>
    <t>[ASTM] D5453</t>
  </si>
  <si>
    <t>[ASTM] D6839</t>
  </si>
  <si>
    <t>[ASTM] D86</t>
  </si>
  <si>
    <t>[OTHER] ICP-MS</t>
  </si>
  <si>
    <t>[ASTM] D5808</t>
  </si>
  <si>
    <t>[OTHER] Low Oxygenates GC Analyser</t>
  </si>
  <si>
    <t>[UOP] UOP 946</t>
  </si>
  <si>
    <t>[ASTM] D4629</t>
  </si>
  <si>
    <t>20D-156</t>
    <phoneticPr fontId="1" type="noConversion"/>
  </si>
  <si>
    <t>20D-155</t>
    <phoneticPr fontId="1" type="noConversion"/>
  </si>
  <si>
    <t>0.7383</t>
    <phoneticPr fontId="1" type="noConversion"/>
  </si>
  <si>
    <t>30</t>
    <phoneticPr fontId="1" type="noConversion"/>
  </si>
  <si>
    <t>1.57</t>
    <phoneticPr fontId="1" type="noConversion"/>
  </si>
  <si>
    <t>220</t>
    <phoneticPr fontId="1" type="noConversion"/>
  </si>
  <si>
    <t>0.00</t>
    <phoneticPr fontId="1" type="noConversion"/>
  </si>
  <si>
    <t>39.75</t>
    <phoneticPr fontId="1" type="noConversion"/>
  </si>
  <si>
    <t>92.0</t>
    <phoneticPr fontId="1" type="noConversion"/>
  </si>
  <si>
    <t>111.4</t>
    <phoneticPr fontId="1" type="noConversion"/>
  </si>
  <si>
    <t>131.6</t>
    <phoneticPr fontId="1" type="noConversion"/>
  </si>
  <si>
    <t>148.0</t>
    <phoneticPr fontId="1" type="noConversion"/>
  </si>
  <si>
    <t>0.2</t>
    <phoneticPr fontId="1" type="noConversion"/>
  </si>
  <si>
    <t>0.1</t>
    <phoneticPr fontId="1" type="noConversion"/>
  </si>
  <si>
    <t>3.4</t>
    <phoneticPr fontId="1" type="noConversion"/>
  </si>
  <si>
    <t>0.5</t>
    <phoneticPr fontId="1" type="noConversion"/>
  </si>
  <si>
    <t>Tested by ICP-MS</t>
    <phoneticPr fontId="1" type="noConversion"/>
  </si>
  <si>
    <t>+30</t>
    <phoneticPr fontId="1" type="noConversion"/>
  </si>
  <si>
    <t>psi</t>
  </si>
  <si>
    <t>0.7382</t>
    <phoneticPr fontId="1" type="noConversion"/>
  </si>
  <si>
    <t>1.61</t>
    <phoneticPr fontId="1" type="noConversion"/>
  </si>
  <si>
    <t>240</t>
    <phoneticPr fontId="1" type="noConversion"/>
  </si>
  <si>
    <t>39.47</t>
    <phoneticPr fontId="1" type="noConversion"/>
  </si>
  <si>
    <t>132.1</t>
    <phoneticPr fontId="1" type="noConversion"/>
  </si>
  <si>
    <t>149.0</t>
    <phoneticPr fontId="1" type="noConversion"/>
  </si>
  <si>
    <t>0.3</t>
    <phoneticPr fontId="1" type="noConversion"/>
  </si>
  <si>
    <t>4.5</t>
    <phoneticPr fontId="1" type="noConversion"/>
  </si>
  <si>
    <t>GSC wharf No.5</t>
    <phoneticPr fontId="1" type="noConversion"/>
  </si>
  <si>
    <t>Japan</t>
    <phoneticPr fontId="1" type="noConversion"/>
  </si>
  <si>
    <t>YL23-20023988</t>
    <phoneticPr fontId="1" type="noConversion"/>
  </si>
  <si>
    <t>Shore Tank Gauge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</si>
</sst>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표준" xfId="0" builtinId="0"/>
    <cellStyle name="하이퍼링크" xfId="1" builtinId="8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845820</xdr:colOff>
          <xdr:row>13</xdr:row>
          <xdr:rowOff>182880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60960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24" sqref="C24"/>
    </sheetView>
  </sheetViews>
  <sheetFormatPr defaultColWidth="8.69921875" defaultRowHeight="18" customHeight="1"/>
  <cols>
    <col min="1" max="1" width="2.8984375" style="99" customWidth="1"/>
    <col min="2" max="2" width="20.59765625" style="99" customWidth="1"/>
    <col min="3" max="3" width="31.69921875" style="99" customWidth="1"/>
    <col min="4" max="5" width="2.59765625" style="109" customWidth="1"/>
    <col min="6" max="11" width="10.69921875" style="109" customWidth="1"/>
    <col min="12" max="19" width="8.69921875" style="109"/>
    <col min="20" max="16384" width="8.699218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393</v>
      </c>
      <c r="C5" s="157" t="s">
        <v>741</v>
      </c>
      <c r="E5" s="235" t="s">
        <v>646</v>
      </c>
      <c r="F5" s="247" t="s">
        <v>676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brian.song@sgs.com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395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673</v>
      </c>
      <c r="C9" s="232" t="s">
        <v>674</v>
      </c>
      <c r="E9" s="240" t="s">
        <v>677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646</v>
      </c>
      <c r="F10" s="247" t="s">
        <v>680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646</v>
      </c>
      <c r="F11" s="247" t="s">
        <v>679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646</v>
      </c>
      <c r="F12" s="247" t="s">
        <v>681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5" customHeight="1" thickBot="1">
      <c r="B13" s="230" t="s">
        <v>675</v>
      </c>
      <c r="E13" s="241" t="s">
        <v>678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672</v>
      </c>
      <c r="C14" s="223"/>
      <c r="E14" s="235" t="s">
        <v>646</v>
      </c>
      <c r="F14" s="247" t="s">
        <v>682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670</v>
      </c>
      <c r="C15" s="202"/>
      <c r="E15" s="235" t="s">
        <v>646</v>
      </c>
      <c r="F15" s="247" t="s">
        <v>683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671</v>
      </c>
      <c r="C16" s="178"/>
      <c r="E16" s="235" t="s">
        <v>646</v>
      </c>
      <c r="F16" s="247" t="s">
        <v>684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695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696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697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698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384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391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392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407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406</v>
      </c>
      <c r="C29" s="182">
        <f ca="1">TODAY()</f>
        <v>45229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408</v>
      </c>
      <c r="C30" s="182">
        <f ca="1">IF(C29="","",EDATE(C29,-6))</f>
        <v>45046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409</v>
      </c>
      <c r="C31" s="182">
        <f ca="1">IF(C29="","",EDATE(C29,3))</f>
        <v>45321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398</v>
      </c>
      <c r="C34" s="249" t="s">
        <v>392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642</v>
      </c>
      <c r="C35" s="251" t="s">
        <v>669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643</v>
      </c>
      <c r="C36" s="251" t="s">
        <v>668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845820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 activeCell="F18" sqref="F18"/>
    </sheetView>
  </sheetViews>
  <sheetFormatPr defaultColWidth="8.69921875" defaultRowHeight="13.95" customHeight="1"/>
  <cols>
    <col min="1" max="1" width="3.3984375" style="86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5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5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5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5" customHeight="1">
      <c r="A5" s="85">
        <v>1</v>
      </c>
      <c r="B5" s="129"/>
      <c r="C5" s="130" t="s">
        <v>457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5" customHeight="1">
      <c r="A6" s="85">
        <v>2</v>
      </c>
      <c r="B6" s="129" t="s">
        <v>707</v>
      </c>
      <c r="C6" s="130" t="s">
        <v>525</v>
      </c>
      <c r="D6" s="62"/>
      <c r="E6" s="101">
        <v>45228</v>
      </c>
      <c r="F6" s="64">
        <v>1</v>
      </c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5" customHeight="1">
      <c r="A7" s="85">
        <v>3</v>
      </c>
      <c r="B7" s="129"/>
      <c r="C7" s="130" t="s">
        <v>699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5" customHeight="1">
      <c r="A8" s="85">
        <v>4</v>
      </c>
      <c r="B8" s="129"/>
      <c r="C8" s="130" t="s">
        <v>529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5" customHeight="1">
      <c r="A9" s="85">
        <v>5</v>
      </c>
      <c r="B9" s="129"/>
      <c r="C9" s="130" t="s">
        <v>700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5" customHeight="1">
      <c r="A10" s="85">
        <v>6</v>
      </c>
      <c r="B10" s="129"/>
      <c r="C10" s="130" t="s">
        <v>496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5" customHeight="1">
      <c r="A11" s="85">
        <v>7</v>
      </c>
      <c r="B11" s="129" t="s">
        <v>707</v>
      </c>
      <c r="C11" s="130" t="s">
        <v>701</v>
      </c>
      <c r="D11" s="62"/>
      <c r="E11" s="101">
        <v>45228</v>
      </c>
      <c r="F11" s="64">
        <v>900</v>
      </c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5" customHeight="1">
      <c r="A12" s="85">
        <v>8</v>
      </c>
      <c r="B12" s="129"/>
      <c r="C12" s="130" t="s">
        <v>499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5" customHeight="1">
      <c r="A13" s="85">
        <v>9</v>
      </c>
      <c r="B13" s="129"/>
      <c r="C13" s="130" t="s">
        <v>510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5" customHeight="1">
      <c r="A14" s="85">
        <v>10</v>
      </c>
      <c r="B14" s="129"/>
      <c r="C14" s="130" t="s">
        <v>702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5" customHeight="1">
      <c r="A15" s="85">
        <v>11</v>
      </c>
      <c r="B15" s="129"/>
      <c r="C15" s="130" t="s">
        <v>480</v>
      </c>
      <c r="D15" s="62"/>
      <c r="E15" s="101"/>
      <c r="F15" s="64"/>
      <c r="G15" s="65"/>
      <c r="H15" s="215" t="str">
        <f t="shared" si="0"/>
        <v>-</v>
      </c>
      <c r="I15" s="4"/>
      <c r="J15" s="266" t="s">
        <v>368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5" customHeight="1">
      <c r="A16" s="85">
        <v>12</v>
      </c>
      <c r="B16" s="129" t="s">
        <v>707</v>
      </c>
      <c r="C16" s="130" t="s">
        <v>502</v>
      </c>
      <c r="D16" s="62"/>
      <c r="E16" s="101">
        <v>45228</v>
      </c>
      <c r="F16" s="64">
        <v>1030</v>
      </c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5" customHeight="1">
      <c r="A17" s="85">
        <v>13</v>
      </c>
      <c r="B17" s="129" t="s">
        <v>707</v>
      </c>
      <c r="C17" s="130" t="s">
        <v>703</v>
      </c>
      <c r="D17" s="62" t="s">
        <v>706</v>
      </c>
      <c r="E17" s="101">
        <v>45228</v>
      </c>
      <c r="F17" s="64">
        <v>1042</v>
      </c>
      <c r="G17" s="65"/>
      <c r="H17" s="215" t="str">
        <f t="shared" si="0"/>
        <v/>
      </c>
      <c r="I17" s="4"/>
      <c r="J17" s="257" t="s">
        <v>651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5" customHeight="1">
      <c r="A18" s="85">
        <v>14</v>
      </c>
      <c r="B18" s="129"/>
      <c r="C18" s="130" t="s">
        <v>704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5" customHeight="1">
      <c r="A19" s="85">
        <v>15</v>
      </c>
      <c r="B19" s="129"/>
      <c r="C19" s="130" t="s">
        <v>467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5" customHeight="1">
      <c r="A20" s="85">
        <v>16</v>
      </c>
      <c r="B20" s="129" t="s">
        <v>707</v>
      </c>
      <c r="C20" s="130" t="s">
        <v>479</v>
      </c>
      <c r="D20" s="62" t="s">
        <v>706</v>
      </c>
      <c r="E20" s="101">
        <v>45229</v>
      </c>
      <c r="F20" s="64">
        <v>1110</v>
      </c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5" customHeight="1">
      <c r="A21" s="85">
        <v>17</v>
      </c>
      <c r="B21" s="129"/>
      <c r="C21" s="130" t="s">
        <v>705</v>
      </c>
      <c r="D21" s="62"/>
      <c r="E21" s="101"/>
      <c r="F21" s="64"/>
      <c r="G21" s="65"/>
      <c r="H21" s="215" t="str">
        <f t="shared" si="0"/>
        <v>-</v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5" customHeight="1">
      <c r="A22" s="85">
        <v>18</v>
      </c>
      <c r="B22" s="129" t="s">
        <v>707</v>
      </c>
      <c r="C22" s="130" t="s">
        <v>503</v>
      </c>
      <c r="D22" s="63"/>
      <c r="E22" s="101">
        <v>45229</v>
      </c>
      <c r="F22" s="64">
        <v>1118</v>
      </c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5" customHeight="1">
      <c r="A23" s="85">
        <v>19</v>
      </c>
      <c r="B23" s="129"/>
      <c r="C23" s="130" t="s">
        <v>475</v>
      </c>
      <c r="D23" s="62"/>
      <c r="E23" s="101"/>
      <c r="F23" s="64"/>
      <c r="G23" s="65"/>
      <c r="H23" s="215" t="str">
        <f t="shared" si="0"/>
        <v>-</v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5" customHeight="1">
      <c r="A24" s="85">
        <v>20</v>
      </c>
      <c r="B24" s="129"/>
      <c r="C24" s="130" t="s">
        <v>466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5" customHeight="1">
      <c r="A25" s="85">
        <v>21</v>
      </c>
      <c r="B25" s="129"/>
      <c r="C25" s="130" t="s">
        <v>527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5" customHeight="1">
      <c r="A26" s="85">
        <v>22</v>
      </c>
      <c r="B26" s="129" t="s">
        <v>707</v>
      </c>
      <c r="C26" s="130" t="s">
        <v>562</v>
      </c>
      <c r="D26" s="62"/>
      <c r="E26" s="101">
        <v>45229</v>
      </c>
      <c r="F26" s="64">
        <v>1330</v>
      </c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5" customHeight="1">
      <c r="A27" s="85">
        <v>23</v>
      </c>
      <c r="B27" s="129"/>
      <c r="C27" s="130" t="s">
        <v>497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5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5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5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5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5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5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5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5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5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5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5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5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5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5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5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5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5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5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5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5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5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5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5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5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5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5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5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5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5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5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5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5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5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tabSelected="1" zoomScaleNormal="100" workbookViewId="0">
      <selection activeCell="C8" sqref="C8"/>
    </sheetView>
  </sheetViews>
  <sheetFormatPr defaultColWidth="8.69921875" defaultRowHeight="15" customHeight="1"/>
  <cols>
    <col min="1" max="1" width="3.3984375" style="45" customWidth="1"/>
    <col min="2" max="2" width="32.69921875" style="45" customWidth="1"/>
    <col min="3" max="7" width="16.59765625" style="47" customWidth="1"/>
    <col min="8" max="9" width="3.3984375" style="45" customWidth="1"/>
    <col min="10" max="14" width="14" style="174" customWidth="1"/>
    <col min="15" max="15" width="3.3984375" style="174" customWidth="1"/>
    <col min="16" max="20" width="14" style="174" customWidth="1"/>
    <col min="21" max="21" width="3.3984375" style="174" customWidth="1"/>
    <col min="22" max="26" width="14" style="174" customWidth="1"/>
    <col min="27" max="27" width="3.3984375" style="174" customWidth="1"/>
    <col min="28" max="32" width="14" style="174" customWidth="1"/>
    <col min="33" max="33" width="3.3984375" style="174" customWidth="1"/>
    <col min="34" max="38" width="14" style="174" customWidth="1"/>
    <col min="39" max="39" width="3.3984375" style="174" customWidth="1"/>
    <col min="40" max="44" width="14" style="174" customWidth="1"/>
    <col min="45" max="45" width="3.3984375" style="174" customWidth="1"/>
    <col min="46" max="50" width="14" style="174" customWidth="1"/>
    <col min="51" max="51" width="3.3984375" style="174" customWidth="1"/>
    <col min="52" max="56" width="14" style="174" customWidth="1"/>
    <col min="57" max="57" width="3.3984375" style="174" customWidth="1"/>
    <col min="58" max="62" width="14" style="174" customWidth="1"/>
    <col min="63" max="16384" width="8.699218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644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>
        <v>45229</v>
      </c>
      <c r="D4" s="177" t="s">
        <v>323</v>
      </c>
      <c r="E4" s="27"/>
      <c r="F4" s="281" t="s">
        <v>784</v>
      </c>
      <c r="G4" s="282"/>
      <c r="H4" s="38"/>
    </row>
    <row r="5" spans="1:78" ht="15" customHeight="1">
      <c r="A5" s="38"/>
      <c r="B5" s="44" t="s">
        <v>224</v>
      </c>
      <c r="C5" s="48" t="s">
        <v>742</v>
      </c>
      <c r="D5" s="177" t="s">
        <v>226</v>
      </c>
      <c r="E5" s="27"/>
      <c r="F5" s="277" t="s">
        <v>785</v>
      </c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 t="s">
        <v>782</v>
      </c>
      <c r="D6" s="177" t="s">
        <v>273</v>
      </c>
      <c r="E6" s="27"/>
      <c r="F6" s="279" t="str">
        <f>IF('Navarik 설정'!C22="","",'Navarik 설정'!C22)</f>
        <v>NAPHTHA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 t="s">
        <v>783</v>
      </c>
      <c r="D7" s="177" t="s">
        <v>326</v>
      </c>
      <c r="E7" s="27"/>
      <c r="F7" s="66">
        <v>0.99980000000000002</v>
      </c>
      <c r="G7" s="212" t="s">
        <v>396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>
        <v>45231</v>
      </c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410</v>
      </c>
      <c r="C10" s="27" t="s">
        <v>685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>
        <f>IF(C12="","",C12)</f>
        <v>297952</v>
      </c>
      <c r="D11" s="33">
        <f t="shared" ref="D11:G11" si="0">IF(D12="","",D12)</f>
        <v>47338.614000000001</v>
      </c>
      <c r="E11" s="33">
        <f t="shared" si="0"/>
        <v>34888.1</v>
      </c>
      <c r="F11" s="34" t="str">
        <f t="shared" si="0"/>
        <v/>
      </c>
      <c r="G11" s="32">
        <f t="shared" si="0"/>
        <v>34337</v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647</v>
      </c>
      <c r="C12" s="29">
        <v>297952</v>
      </c>
      <c r="D12" s="30">
        <v>47338.614000000001</v>
      </c>
      <c r="E12" s="30">
        <v>34888.1</v>
      </c>
      <c r="F12" s="31"/>
      <c r="G12" s="29">
        <v>34337</v>
      </c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>
        <f>IF(C12="","",C12)</f>
        <v>297952</v>
      </c>
      <c r="D13" s="33">
        <f t="shared" ref="D13:G13" si="1">IF(D12="","",D12)</f>
        <v>47338.614000000001</v>
      </c>
      <c r="E13" s="33">
        <f t="shared" si="1"/>
        <v>34888.1</v>
      </c>
      <c r="F13" s="34" t="str">
        <f t="shared" si="1"/>
        <v/>
      </c>
      <c r="G13" s="32">
        <f t="shared" si="1"/>
        <v>34337</v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 t="s">
        <v>743</v>
      </c>
      <c r="D15" s="46"/>
      <c r="E15" s="210" t="s">
        <v>650</v>
      </c>
      <c r="F15" s="39" t="s">
        <v>199</v>
      </c>
      <c r="G15" s="28">
        <v>0.73809999999999998</v>
      </c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>
        <v>25.1</v>
      </c>
      <c r="D16" s="26" t="s">
        <v>739</v>
      </c>
      <c r="E16" s="211" t="s">
        <v>397</v>
      </c>
      <c r="F16" s="39" t="s">
        <v>200</v>
      </c>
      <c r="G16" s="35">
        <v>60.15</v>
      </c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685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648</v>
      </c>
      <c r="C24" s="168">
        <f>IF(C25="","",C25)</f>
        <v>298076</v>
      </c>
      <c r="D24" s="169">
        <f>IF(D25="","",D25)</f>
        <v>47358.315000000002</v>
      </c>
      <c r="E24" s="169">
        <f>IF(E25="","",E25)</f>
        <v>34901.699999999997</v>
      </c>
      <c r="F24" s="172" t="str">
        <f>IF(F25="","",F25)</f>
        <v/>
      </c>
      <c r="G24" s="170">
        <f t="shared" ref="G24" si="6">IF(G25="","",G25)</f>
        <v>34350.400000000001</v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649</v>
      </c>
      <c r="C25" s="165">
        <v>298076</v>
      </c>
      <c r="D25" s="166">
        <v>47358.315000000002</v>
      </c>
      <c r="E25" s="166">
        <v>34901.699999999997</v>
      </c>
      <c r="F25" s="171"/>
      <c r="G25" s="167">
        <v>34350.400000000001</v>
      </c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>
        <f>IF(C25="","",C25)</f>
        <v>298076</v>
      </c>
      <c r="D26" s="169">
        <f t="shared" ref="D26:G26" si="7">IF(D25="","",D25)</f>
        <v>47358.315000000002</v>
      </c>
      <c r="E26" s="169">
        <f t="shared" si="7"/>
        <v>34901.699999999997</v>
      </c>
      <c r="F26" s="172" t="str">
        <f t="shared" si="7"/>
        <v/>
      </c>
      <c r="G26" s="170">
        <f t="shared" si="7"/>
        <v>34350.400000000001</v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>6B</v>
      </c>
      <c r="D28" s="27"/>
      <c r="E28" s="27"/>
      <c r="F28" s="39" t="s">
        <v>199</v>
      </c>
      <c r="G28" s="106">
        <f>IF(G15="","",G15)</f>
        <v>0.73809999999999998</v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>
        <v>25.3</v>
      </c>
      <c r="D29" s="37" t="str">
        <f>IF(D16="","",D16)</f>
        <v>°C</v>
      </c>
      <c r="E29" s="27"/>
      <c r="F29" s="39" t="s">
        <v>200</v>
      </c>
      <c r="G29" s="107">
        <f>IF(G16="","",G16)</f>
        <v>60.15</v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°C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645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349</v>
      </c>
      <c r="C36" s="142">
        <f>IF(OR(C12="",C25=""),"",C25-C12)</f>
        <v>124</v>
      </c>
      <c r="D36" s="142">
        <f>IF(OR(D12="",D25=""),"",D25-D12)</f>
        <v>19.701000000000931</v>
      </c>
      <c r="E36" s="142">
        <f>IF(OR(E12="",E25=""),"",E25-E12)</f>
        <v>13.599999999998545</v>
      </c>
      <c r="F36" s="142" t="str">
        <f>IF(OR(F12="",F25=""),"",F25-F12)</f>
        <v/>
      </c>
      <c r="G36" s="142">
        <f>IF(OR(G12="",G25=""),"",G25-G12)</f>
        <v>13.400000000001455</v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350</v>
      </c>
      <c r="C37" s="143">
        <f>IF(OR(C12="",C25=""),"",C36/C12*100)</f>
        <v>4.1617441735581573E-2</v>
      </c>
      <c r="D37" s="143">
        <f t="shared" ref="D37:G37" si="8">IF(OR(D12="",D25=""),"",D36/D12*100)</f>
        <v>4.1617188031742816E-2</v>
      </c>
      <c r="E37" s="143">
        <f t="shared" si="8"/>
        <v>3.8981773154739136E-2</v>
      </c>
      <c r="F37" s="143" t="str">
        <f t="shared" si="8"/>
        <v/>
      </c>
      <c r="G37" s="143">
        <f t="shared" si="8"/>
        <v>3.9024958499581951E-2</v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E7" activePane="bottomRight" state="frozen"/>
      <selection activeCell="C21" sqref="C21"/>
      <selection pane="topRight" activeCell="C21" sqref="C21"/>
      <selection pane="bottomLeft" activeCell="C21" sqref="C21"/>
      <selection pane="bottomRight" activeCell="I22" sqref="I22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229</v>
      </c>
      <c r="C1" s="288"/>
      <c r="D1" s="118"/>
      <c r="E1" s="118"/>
      <c r="F1" s="60">
        <f>IF(F2=1,"",1)</f>
        <v>1</v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2</v>
      </c>
      <c r="G2" s="138" t="s">
        <v>339</v>
      </c>
      <c r="H2" s="139"/>
      <c r="I2" s="139"/>
      <c r="J2" s="27" t="str">
        <f>IF(F2=1,"","육상탱크 2개 이상 추가되면 오른쪽 탭에")</f>
        <v>육상탱크 2개 이상 추가되면 오른쪽 탭에</v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 t="s">
        <v>315</v>
      </c>
      <c r="G3" s="290"/>
      <c r="H3" s="290"/>
      <c r="I3" s="290"/>
      <c r="J3" s="27" t="str">
        <f>IF(F2=1,"","결과 입력 (셀 범위 Q1 ~ AD82)")</f>
        <v>결과 입력 (셀 범위 Q1 ~ AD82)</v>
      </c>
      <c r="K3" s="7"/>
      <c r="L3" s="284" t="str">
        <f>IF(F2&gt;=2,"Add New Sample (2)","")</f>
        <v>Add New Sample (2)</v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 t="s">
        <v>756</v>
      </c>
      <c r="G4" s="289"/>
      <c r="H4" s="289"/>
      <c r="I4" s="289"/>
      <c r="J4" s="24" t="str">
        <f>IF(F2=1,"","▶▶▶▶▶")</f>
        <v>▶▶▶▶▶</v>
      </c>
      <c r="K4" s="7"/>
      <c r="L4" s="68" t="str">
        <f>IF(K5=1,"Tk No.:","")</f>
        <v>Tk No.:</v>
      </c>
      <c r="M4" s="287" t="s">
        <v>755</v>
      </c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266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>
        <f>IF(F2&gt;=2,1,"")</f>
        <v>1</v>
      </c>
      <c r="L5" s="285" t="str">
        <f>IF(K5=1,"Results (검사원)","")</f>
        <v>Results (검사원)</v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>Symbol</v>
      </c>
      <c r="M6" s="73" t="str">
        <f>IF(K5=1,"Result","")</f>
        <v>Result</v>
      </c>
      <c r="N6" s="73" t="str">
        <f>IF(K5=1,"Comment","")</f>
        <v>Comment</v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708</v>
      </c>
      <c r="D7" s="252" t="s">
        <v>744</v>
      </c>
      <c r="E7" s="133" t="s">
        <v>723</v>
      </c>
      <c r="F7" s="253"/>
      <c r="G7" s="22" t="s">
        <v>757</v>
      </c>
      <c r="H7" s="21" t="s">
        <v>724</v>
      </c>
      <c r="I7" s="22"/>
      <c r="J7" s="59"/>
      <c r="K7" s="7"/>
      <c r="L7" s="11"/>
      <c r="M7" s="199" t="s">
        <v>774</v>
      </c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709</v>
      </c>
      <c r="D8" s="252" t="s">
        <v>745</v>
      </c>
      <c r="E8" s="133" t="s">
        <v>724</v>
      </c>
      <c r="F8" s="253"/>
      <c r="G8" s="22" t="s">
        <v>758</v>
      </c>
      <c r="H8" s="254" t="s">
        <v>736</v>
      </c>
      <c r="I8" s="22" t="s">
        <v>772</v>
      </c>
      <c r="J8" s="59"/>
      <c r="K8" s="7"/>
      <c r="L8" s="11"/>
      <c r="M8" s="199" t="s">
        <v>758</v>
      </c>
      <c r="N8" s="12" t="s">
        <v>772</v>
      </c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710</v>
      </c>
      <c r="D9" s="252" t="s">
        <v>746</v>
      </c>
      <c r="E9" s="133" t="s">
        <v>725</v>
      </c>
      <c r="F9" s="253"/>
      <c r="G9" s="22" t="s">
        <v>759</v>
      </c>
      <c r="H9" s="254" t="s">
        <v>773</v>
      </c>
      <c r="I9" s="22"/>
      <c r="J9" s="59"/>
      <c r="K9" s="7"/>
      <c r="L9" s="11"/>
      <c r="M9" s="199" t="s">
        <v>775</v>
      </c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711</v>
      </c>
      <c r="D10" s="252" t="s">
        <v>747</v>
      </c>
      <c r="E10" s="133" t="s">
        <v>726</v>
      </c>
      <c r="F10" s="253"/>
      <c r="G10" s="22" t="s">
        <v>760</v>
      </c>
      <c r="H10" s="254" t="s">
        <v>737</v>
      </c>
      <c r="I10" s="22"/>
      <c r="J10" s="59"/>
      <c r="K10" s="7"/>
      <c r="L10" s="11"/>
      <c r="M10" s="199" t="s">
        <v>776</v>
      </c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712</v>
      </c>
      <c r="D11" s="252" t="s">
        <v>748</v>
      </c>
      <c r="E11" s="133" t="s">
        <v>727</v>
      </c>
      <c r="F11" s="253"/>
      <c r="G11" s="22" t="s">
        <v>761</v>
      </c>
      <c r="H11" s="254" t="s">
        <v>738</v>
      </c>
      <c r="I11" s="22"/>
      <c r="J11" s="59"/>
      <c r="K11" s="7"/>
      <c r="L11" s="11"/>
      <c r="M11" s="199" t="s">
        <v>761</v>
      </c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712</v>
      </c>
      <c r="D12" s="252" t="s">
        <v>748</v>
      </c>
      <c r="E12" s="133" t="s">
        <v>728</v>
      </c>
      <c r="F12" s="253"/>
      <c r="G12" s="22" t="s">
        <v>762</v>
      </c>
      <c r="H12" s="254" t="s">
        <v>738</v>
      </c>
      <c r="I12" s="22"/>
      <c r="J12" s="59"/>
      <c r="K12" s="7"/>
      <c r="L12" s="11"/>
      <c r="M12" s="199" t="s">
        <v>777</v>
      </c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713</v>
      </c>
      <c r="D13" s="252" t="s">
        <v>749</v>
      </c>
      <c r="E13" s="133" t="s">
        <v>729</v>
      </c>
      <c r="F13" s="253"/>
      <c r="G13" s="22" t="s">
        <v>763</v>
      </c>
      <c r="H13" s="254" t="s">
        <v>739</v>
      </c>
      <c r="I13" s="22"/>
      <c r="J13" s="59"/>
      <c r="K13" s="7"/>
      <c r="L13" s="11"/>
      <c r="M13" s="199" t="s">
        <v>763</v>
      </c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714</v>
      </c>
      <c r="D14" s="252" t="s">
        <v>749</v>
      </c>
      <c r="E14" s="133" t="s">
        <v>730</v>
      </c>
      <c r="F14" s="253"/>
      <c r="G14" s="22" t="s">
        <v>764</v>
      </c>
      <c r="H14" s="254" t="s">
        <v>739</v>
      </c>
      <c r="I14" s="22"/>
      <c r="J14" s="59"/>
      <c r="K14" s="7"/>
      <c r="L14" s="11"/>
      <c r="M14" s="199" t="s">
        <v>764</v>
      </c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715</v>
      </c>
      <c r="D15" s="252" t="s">
        <v>749</v>
      </c>
      <c r="E15" s="133" t="s">
        <v>731</v>
      </c>
      <c r="F15" s="253"/>
      <c r="G15" s="22" t="s">
        <v>765</v>
      </c>
      <c r="H15" s="254" t="s">
        <v>739</v>
      </c>
      <c r="I15" s="22"/>
      <c r="J15" s="59"/>
      <c r="K15" s="7"/>
      <c r="L15" s="11"/>
      <c r="M15" s="199" t="s">
        <v>778</v>
      </c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716</v>
      </c>
      <c r="D16" s="252" t="s">
        <v>749</v>
      </c>
      <c r="E16" s="133" t="s">
        <v>732</v>
      </c>
      <c r="F16" s="253"/>
      <c r="G16" s="22" t="s">
        <v>766</v>
      </c>
      <c r="H16" s="254" t="s">
        <v>739</v>
      </c>
      <c r="I16" s="22"/>
      <c r="J16" s="59"/>
      <c r="K16" s="7"/>
      <c r="L16" s="11"/>
      <c r="M16" s="199" t="s">
        <v>779</v>
      </c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717</v>
      </c>
      <c r="D17" s="252" t="s">
        <v>750</v>
      </c>
      <c r="E17" s="133" t="s">
        <v>733</v>
      </c>
      <c r="F17" s="253"/>
      <c r="G17" s="22" t="s">
        <v>767</v>
      </c>
      <c r="H17" s="254" t="s">
        <v>740</v>
      </c>
      <c r="I17" s="22"/>
      <c r="J17" s="59"/>
      <c r="K17" s="7"/>
      <c r="L17" s="11"/>
      <c r="M17" s="199" t="s">
        <v>768</v>
      </c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718</v>
      </c>
      <c r="D18" s="252" t="s">
        <v>750</v>
      </c>
      <c r="E18" s="133" t="s">
        <v>734</v>
      </c>
      <c r="F18" s="253"/>
      <c r="G18" s="22" t="s">
        <v>767</v>
      </c>
      <c r="H18" s="254" t="s">
        <v>740</v>
      </c>
      <c r="I18" s="22"/>
      <c r="J18" s="59"/>
      <c r="K18" s="7"/>
      <c r="L18" s="11"/>
      <c r="M18" s="199" t="s">
        <v>780</v>
      </c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719</v>
      </c>
      <c r="D19" s="252" t="s">
        <v>751</v>
      </c>
      <c r="E19" s="133" t="s">
        <v>727</v>
      </c>
      <c r="F19" s="253"/>
      <c r="G19" s="22" t="s">
        <v>768</v>
      </c>
      <c r="H19" s="254" t="s">
        <v>737</v>
      </c>
      <c r="I19" s="22"/>
      <c r="J19" s="59"/>
      <c r="K19" s="7"/>
      <c r="L19" s="11"/>
      <c r="M19" s="199" t="s">
        <v>768</v>
      </c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 ht="26.4">
      <c r="A20" s="95">
        <v>14</v>
      </c>
      <c r="B20" s="53"/>
      <c r="C20" s="67" t="s">
        <v>720</v>
      </c>
      <c r="D20" s="252" t="s">
        <v>752</v>
      </c>
      <c r="E20" s="133" t="s">
        <v>733</v>
      </c>
      <c r="F20" s="253"/>
      <c r="G20" s="22" t="s">
        <v>769</v>
      </c>
      <c r="H20" s="21" t="s">
        <v>737</v>
      </c>
      <c r="I20" s="22"/>
      <c r="J20" s="59"/>
      <c r="K20" s="7"/>
      <c r="L20" s="11"/>
      <c r="M20" s="199" t="s">
        <v>781</v>
      </c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721</v>
      </c>
      <c r="D21" s="124" t="s">
        <v>753</v>
      </c>
      <c r="E21" s="133" t="s">
        <v>735</v>
      </c>
      <c r="F21" s="253"/>
      <c r="G21" s="22" t="s">
        <v>768</v>
      </c>
      <c r="H21" s="21" t="s">
        <v>740</v>
      </c>
      <c r="I21" s="22" t="s">
        <v>771</v>
      </c>
      <c r="J21" s="59"/>
      <c r="K21" s="7"/>
      <c r="L21" s="11"/>
      <c r="M21" s="199" t="s">
        <v>768</v>
      </c>
      <c r="N21" s="12" t="s">
        <v>771</v>
      </c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722</v>
      </c>
      <c r="D22" s="252" t="s">
        <v>754</v>
      </c>
      <c r="E22" s="133" t="s">
        <v>735</v>
      </c>
      <c r="F22" s="253"/>
      <c r="G22" s="22" t="s">
        <v>770</v>
      </c>
      <c r="H22" s="254" t="s">
        <v>737</v>
      </c>
      <c r="I22" s="22"/>
      <c r="J22" s="59"/>
      <c r="K22" s="7"/>
      <c r="L22" s="11"/>
      <c r="M22" s="199" t="s">
        <v>770</v>
      </c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3"/>
      <c r="G85" s="283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7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459EE849-9F39-4A0E-8F04-AC70A7671BB3}">
      <formula1>"* ,[ASTM] D4052"</formula1>
    </dataValidation>
    <dataValidation type="list" allowBlank="1" showInputMessage="1" showErrorMessage="1" sqref="D8" xr:uid="{7830B5B5-B7B1-46AB-9C59-F52FEE03AF67}">
      <formula1>"* ,[ASTM] D156"</formula1>
    </dataValidation>
    <dataValidation type="list" allowBlank="1" showInputMessage="1" showErrorMessage="1" sqref="D9" xr:uid="{0682734B-1B3E-4F4D-8E87-166C18FD24B4}">
      <formula1>"* ,[ASTM] D323"</formula1>
    </dataValidation>
    <dataValidation type="list" allowBlank="1" showInputMessage="1" showErrorMessage="1" sqref="D10" xr:uid="{2364B472-C86D-4057-92D2-94B5104B1C65}">
      <formula1>"* ,[ASTM] D5453"</formula1>
    </dataValidation>
    <dataValidation type="list" allowBlank="1" showInputMessage="1" showErrorMessage="1" sqref="D11 D12" xr:uid="{251F113A-4150-46A3-BFFC-06153CCB02D7}">
      <formula1>"* ,[ASTM] D6839"</formula1>
    </dataValidation>
    <dataValidation type="list" allowBlank="1" showInputMessage="1" showErrorMessage="1" sqref="D13 D14 D15 D16" xr:uid="{8BD0980A-107E-4F34-8E47-9B9435110086}">
      <formula1>"* ,[ASTM] D86"</formula1>
    </dataValidation>
    <dataValidation type="list" allowBlank="1" showInputMessage="1" showErrorMessage="1" sqref="D17 D18" xr:uid="{7756EF03-1B7A-40B1-B6B9-2A6E04CDA424}">
      <formula1>"* ,[OTHER] ICP-MS"</formula1>
    </dataValidation>
    <dataValidation type="list" allowBlank="1" showInputMessage="1" showErrorMessage="1" sqref="D19" xr:uid="{A4238A76-2EEF-4A63-8CE4-1805496775BE}">
      <formula1>"* ,[ASTM] D5808"</formula1>
    </dataValidation>
    <dataValidation type="list" allowBlank="1" showInputMessage="1" showErrorMessage="1" sqref="D20" xr:uid="{5FEB8080-FC34-4E93-8C83-BE57B619660C}">
      <formula1>"* ,[OTHER] Low Oxygenates GC Analyser"</formula1>
    </dataValidation>
    <dataValidation type="list" allowBlank="1" showInputMessage="1" showErrorMessage="1" sqref="D21" xr:uid="{239A69D7-18E4-4794-8228-5E0E2082FCFF}">
      <formula1>"[UOP] UOP 946"</formula1>
    </dataValidation>
    <dataValidation type="list" allowBlank="1" showInputMessage="1" showErrorMessage="1" sqref="D22" xr:uid="{542F56D3-9898-4BE3-B229-E39BB2D15CA7}">
      <formula1>"* ,[ASTM] D4629"</formula1>
    </dataValidation>
    <dataValidation type="list" allowBlank="1" showInputMessage="1" showErrorMessage="1" sqref="H7" xr:uid="{45F364B5-A4BE-4481-A471-E34BB4794CCA}">
      <formula1>"n/a"</formula1>
    </dataValidation>
    <dataValidation type="list" allowBlank="1" showInputMessage="1" showErrorMessage="1" sqref="H8" xr:uid="{9286FCF2-0144-4F8C-B42F-8A690B77E00B}">
      <formula1>"haze no,pass/fail,rating,visual,Min,Max"</formula1>
    </dataValidation>
    <dataValidation type="list" allowBlank="1" showInputMessage="1" showErrorMessage="1" sqref="H9" xr:uid="{1FFB9A1B-AAE7-447A-86E0-B0A41A002409}">
      <formula1>"bar,kg/cm²,kPa,mbar,%vol,psi,psig,RVP"</formula1>
    </dataValidation>
    <dataValidation type="list" allowBlank="1" showInputMessage="1" showErrorMessage="1" sqref="H10" xr:uid="{B8B88F16-3331-4AB7-954C-FF841E3FB321}">
      <formula1>"μg/g,mg/kg,mg/l,ppm,%m,%m/m,%wt"</formula1>
    </dataValidation>
    <dataValidation type="list" allowBlank="1" showInputMessage="1" showErrorMessage="1" sqref="H11 H12" xr:uid="{5FDC1495-3E99-4301-94C0-1F2E5F6D5CFB}">
      <formula1>"ppm,%m/m,%mole,%vol"</formula1>
    </dataValidation>
    <dataValidation type="list" allowBlank="1" showInputMessage="1" showErrorMessage="1" sqref="H13 H14 H15 H16" xr:uid="{81FD6FE1-33A4-46EA-B1E2-2297A3F1BE37}">
      <formula1>"°C,°F,%,%vol"</formula1>
    </dataValidation>
    <dataValidation type="list" allowBlank="1" showInputMessage="1" showErrorMessage="1" sqref="H17" xr:uid="{4D635EDE-D5E7-4766-B2E3-490D4C16A911}">
      <formula1>"g Pb/l,g Pb/UK gal,g Pb/US gal,g/US gal,μg/l,mg/kg,mg/l,ppb,ppm,ppm w/w,%vol,μg/kg"</formula1>
    </dataValidation>
    <dataValidation type="list" allowBlank="1" showInputMessage="1" showErrorMessage="1" sqref="H18" xr:uid="{75E26C3D-8CE0-4F47-BF6E-55A3D0ECF224}">
      <formula1>"ppb,μg/kg,ng/m3"</formula1>
    </dataValidation>
    <dataValidation type="list" allowBlank="1" showInputMessage="1" showErrorMessage="1" sqref="H19" xr:uid="{0A9EB08D-D2FB-422C-A325-7A7F1A33B005}">
      <formula1>"L,mg/kg,mg/l,ppb,ppm,ppm w/w,%vol,%wt"</formula1>
    </dataValidation>
    <dataValidation type="list" allowBlank="1" showInputMessage="1" showErrorMessage="1" sqref="H20" xr:uid="{3C74B941-B9C5-4ADF-99CA-6F99567A96CA}">
      <formula1>"ppm"</formula1>
    </dataValidation>
    <dataValidation type="list" allowBlank="1" showInputMessage="1" showErrorMessage="1" sqref="H21" xr:uid="{CBE3608E-FF21-49A1-8260-87936AFC4E6E}">
      <formula1>"ppb"</formula1>
    </dataValidation>
    <dataValidation type="list" allowBlank="1" showInputMessage="1" showErrorMessage="1" sqref="H22" xr:uid="{2BC26C39-B3B3-436A-B6EE-DC5056A4F08D}">
      <formula1>"mg/kg,ppm,%m/m,%mole,%vol,%wt"</formula1>
    </dataValidation>
    <dataValidation type="list" allowBlank="1" showInputMessage="1" showErrorMessage="1" sqref="F7 F8 F9 F10 F11 F12 F13 F14 F15 F16 F17 F18 F19 F20 F21 F22" xr:uid="{C0F19511-286C-41E2-95A0-DF64E584F9D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230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232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233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234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235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236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237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238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69921875" defaultRowHeight="15.6"/>
  <cols>
    <col min="1" max="1" width="2.69921875" style="98" customWidth="1"/>
    <col min="2" max="2" width="3.09765625" style="8" customWidth="1"/>
    <col min="3" max="3" width="53.5" style="8" customWidth="1"/>
    <col min="4" max="4" width="24.69921875" style="128" customWidth="1"/>
    <col min="5" max="5" width="21" style="128" customWidth="1"/>
    <col min="6" max="6" width="7.69921875" style="8" customWidth="1"/>
    <col min="7" max="7" width="15.5" style="8" customWidth="1"/>
    <col min="8" max="8" width="11.3984375" style="8" customWidth="1"/>
    <col min="9" max="9" width="22.19921875" style="8" customWidth="1"/>
    <col min="10" max="10" width="33.19921875" style="8" customWidth="1"/>
    <col min="11" max="11" width="1.5" style="8" customWidth="1"/>
    <col min="12" max="12" width="7.69921875" style="8" customWidth="1"/>
    <col min="13" max="13" width="15.5" style="8" customWidth="1"/>
    <col min="14" max="14" width="22.19921875" style="8" customWidth="1"/>
    <col min="15" max="15" width="3" style="8" customWidth="1"/>
    <col min="16" max="16" width="8.69921875" style="8"/>
    <col min="17" max="17" width="15.5" style="8" customWidth="1"/>
    <col min="18" max="18" width="22.19921875" style="8" customWidth="1"/>
    <col min="19" max="19" width="3" style="8" customWidth="1"/>
    <col min="20" max="20" width="7.69921875" style="8" customWidth="1"/>
    <col min="21" max="21" width="15.5" style="8" customWidth="1"/>
    <col min="22" max="22" width="22.19921875" style="8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8" customWidth="1"/>
    <col min="29" max="29" width="15.5" style="8" customWidth="1"/>
    <col min="30" max="30" width="22.19921875" style="8" customWidth="1"/>
    <col min="31" max="31" width="3" style="8" customWidth="1"/>
    <col min="32" max="32" width="7.69921875" style="8" customWidth="1"/>
    <col min="33" max="33" width="15.5" style="8" customWidth="1"/>
    <col min="34" max="34" width="22.19921875" style="8" customWidth="1"/>
    <col min="35" max="35" width="3" style="8" customWidth="1"/>
    <col min="36" max="36" width="7.69921875" style="8" customWidth="1"/>
    <col min="37" max="37" width="15.5" style="8" customWidth="1"/>
    <col min="38" max="38" width="22.19921875" style="8" customWidth="1"/>
    <col min="39" max="39" width="3" style="8" customWidth="1"/>
    <col min="40" max="40" width="7.69921875" style="8" customWidth="1"/>
    <col min="41" max="41" width="15.5" style="8" customWidth="1"/>
    <col min="42" max="42" width="22.19921875" style="8" customWidth="1"/>
    <col min="43" max="43" width="3" style="8" customWidth="1"/>
    <col min="44" max="44" width="7.69921875" style="8" customWidth="1"/>
    <col min="45" max="45" width="15.5" style="8" customWidth="1"/>
    <col min="46" max="46" width="22.19921875" style="8" customWidth="1"/>
    <col min="47" max="47" width="3" style="8" customWidth="1"/>
    <col min="48" max="48" width="7.69921875" style="8" customWidth="1"/>
    <col min="49" max="49" width="15.5" style="8" customWidth="1"/>
    <col min="50" max="50" width="22.19921875" style="8" customWidth="1"/>
    <col min="51" max="51" width="3" style="8" customWidth="1"/>
    <col min="52" max="52" width="7.69921875" style="8" customWidth="1"/>
    <col min="53" max="53" width="15.5" style="8" customWidth="1"/>
    <col min="54" max="54" width="22.19921875" style="8" customWidth="1"/>
    <col min="55" max="55" width="3" style="8" customWidth="1"/>
    <col min="56" max="56" width="7.69921875" style="8" customWidth="1"/>
    <col min="57" max="57" width="15.5" style="8" customWidth="1"/>
    <col min="58" max="58" width="22.19921875" style="8" customWidth="1"/>
    <col min="59" max="59" width="3" style="8" customWidth="1"/>
    <col min="60" max="60" width="7.69921875" style="8" customWidth="1"/>
    <col min="61" max="61" width="15.5" style="8" customWidth="1"/>
    <col min="62" max="62" width="22.19921875" style="8" customWidth="1"/>
    <col min="63" max="63" width="3" style="8" customWidth="1"/>
    <col min="64" max="64" width="7.69921875" style="8" customWidth="1"/>
    <col min="65" max="65" width="15.5" style="8" customWidth="1"/>
    <col min="66" max="66" width="22.19921875" style="8" customWidth="1"/>
    <col min="67" max="67" width="3" style="8" customWidth="1"/>
    <col min="68" max="68" width="7.69921875" style="8" customWidth="1"/>
    <col min="69" max="69" width="15.5" style="8" customWidth="1"/>
    <col min="70" max="70" width="22.19921875" style="8" customWidth="1"/>
    <col min="71" max="71" width="3" style="8" customWidth="1"/>
    <col min="72" max="72" width="7.69921875" style="8" customWidth="1"/>
    <col min="73" max="73" width="15.5" style="8" customWidth="1"/>
    <col min="74" max="74" width="22.19921875" style="8" customWidth="1"/>
    <col min="75" max="75" width="2.69921875" style="8" customWidth="1"/>
    <col min="76" max="16384" width="8.69921875" style="8"/>
  </cols>
  <sheetData>
    <row r="1" spans="1:75" ht="15.6" customHeight="1">
      <c r="A1" s="94"/>
      <c r="B1" s="288" t="s">
        <v>239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652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641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374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374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374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374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374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374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374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374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374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374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374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374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374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374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374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374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374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374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374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374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374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374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374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374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374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374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374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374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374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374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374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374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374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374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374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374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374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374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374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374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374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374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374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374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374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374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375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375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375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375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375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375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375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375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375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375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375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375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375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375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375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375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375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375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375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375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375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377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377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377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377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377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377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377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377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377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377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377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377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377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376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376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376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376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376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399</v>
      </c>
      <c r="B86" s="163">
        <f ca="1">TODAY()</f>
        <v>45229</v>
      </c>
      <c r="I86" t="s">
        <v>259</v>
      </c>
      <c r="J86" t="s">
        <v>260</v>
      </c>
      <c r="K86" t="s">
        <v>259</v>
      </c>
      <c r="L86" s="159" t="s">
        <v>394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55" t="s">
        <v>690</v>
      </c>
      <c r="K87" t="s">
        <v>686</v>
      </c>
      <c r="L87" s="155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55" t="s">
        <v>691</v>
      </c>
      <c r="K88" t="s">
        <v>687</v>
      </c>
      <c r="L88" s="155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55" t="s">
        <v>692</v>
      </c>
      <c r="K89" t="s">
        <v>688</v>
      </c>
      <c r="L89" s="155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55" t="s">
        <v>692</v>
      </c>
      <c r="K90" t="s">
        <v>689</v>
      </c>
      <c r="L90" s="155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55" t="s">
        <v>694</v>
      </c>
      <c r="K91" t="s">
        <v>693</v>
      </c>
      <c r="L91" s="155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583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584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585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586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587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588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589</v>
      </c>
      <c r="I107" s="161" t="s">
        <v>411</v>
      </c>
      <c r="J107" s="161" t="s">
        <v>400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590</v>
      </c>
      <c r="I108" s="161" t="s">
        <v>412</v>
      </c>
      <c r="J108" s="161" t="s">
        <v>401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591</v>
      </c>
      <c r="I109" s="161" t="s">
        <v>413</v>
      </c>
      <c r="J109" t="s">
        <v>402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592</v>
      </c>
      <c r="I110" s="161" t="s">
        <v>414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593</v>
      </c>
      <c r="I111" s="161" t="s">
        <v>415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594</v>
      </c>
      <c r="I112" s="161" t="s">
        <v>416</v>
      </c>
      <c r="J112" t="s">
        <v>403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595</v>
      </c>
      <c r="I113" s="161" t="s">
        <v>417</v>
      </c>
      <c r="J113" t="s">
        <v>405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596</v>
      </c>
      <c r="I114" s="161" t="s">
        <v>418</v>
      </c>
      <c r="J114" t="s">
        <v>404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597</v>
      </c>
      <c r="I115" s="161" t="s">
        <v>419</v>
      </c>
      <c r="J115" s="161" t="s">
        <v>351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598</v>
      </c>
      <c r="I116" s="161" t="s">
        <v>420</v>
      </c>
      <c r="J116" s="161" t="s">
        <v>352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599</v>
      </c>
      <c r="J117" s="161" t="s">
        <v>353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600</v>
      </c>
      <c r="I118" s="161" t="s">
        <v>411</v>
      </c>
      <c r="J118" s="161" t="s">
        <v>354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601</v>
      </c>
      <c r="I119" s="161" t="s">
        <v>412</v>
      </c>
      <c r="J119" s="161" t="s">
        <v>355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602</v>
      </c>
      <c r="I120" s="161" t="s">
        <v>413</v>
      </c>
      <c r="J120" s="161" t="s">
        <v>356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603</v>
      </c>
      <c r="I121" s="161" t="s">
        <v>414</v>
      </c>
      <c r="J121" s="161" t="s">
        <v>357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604</v>
      </c>
      <c r="I122" s="161" t="s">
        <v>415</v>
      </c>
      <c r="J122" s="161" t="s">
        <v>358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605</v>
      </c>
      <c r="I123" s="161" t="s">
        <v>416</v>
      </c>
      <c r="J123" s="161" t="s">
        <v>359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606</v>
      </c>
      <c r="I124" s="161" t="s">
        <v>417</v>
      </c>
      <c r="J124" s="161" t="s">
        <v>360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607</v>
      </c>
      <c r="I125" s="161" t="s">
        <v>418</v>
      </c>
      <c r="J125" s="161" t="s">
        <v>361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608</v>
      </c>
      <c r="I126" s="161" t="s">
        <v>419</v>
      </c>
      <c r="J126" s="161" t="s">
        <v>362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609</v>
      </c>
      <c r="I127" s="161" t="s">
        <v>420</v>
      </c>
      <c r="J127" s="161" t="s">
        <v>363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610</v>
      </c>
      <c r="J128" s="161" t="s">
        <v>364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611</v>
      </c>
      <c r="J129" s="161" t="s">
        <v>365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612</v>
      </c>
      <c r="J130" s="161" t="s">
        <v>366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613</v>
      </c>
      <c r="J131" s="161" t="s">
        <v>367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614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615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616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617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618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619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620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621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622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623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624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625</v>
      </c>
      <c r="J143" t="s">
        <v>369</v>
      </c>
      <c r="K143" s="155" t="s">
        <v>374</v>
      </c>
      <c r="L143" t="s">
        <v>378</v>
      </c>
      <c r="M143" t="s">
        <v>385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626</v>
      </c>
      <c r="J144" t="s">
        <v>370</v>
      </c>
      <c r="K144" s="155" t="s">
        <v>375</v>
      </c>
      <c r="L144" t="s">
        <v>379</v>
      </c>
      <c r="M144" t="s">
        <v>386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627</v>
      </c>
      <c r="J145" t="s">
        <v>371</v>
      </c>
      <c r="K145" s="155" t="s">
        <v>377</v>
      </c>
      <c r="L145" t="s">
        <v>380</v>
      </c>
      <c r="M145" t="s">
        <v>387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628</v>
      </c>
      <c r="J146" t="s">
        <v>372</v>
      </c>
      <c r="K146" s="155" t="s">
        <v>377</v>
      </c>
      <c r="L146" t="s">
        <v>381</v>
      </c>
      <c r="M146" t="s">
        <v>388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629</v>
      </c>
      <c r="J147" t="s">
        <v>373</v>
      </c>
      <c r="K147" s="155" t="s">
        <v>376</v>
      </c>
      <c r="L147" t="s">
        <v>382</v>
      </c>
      <c r="M147" t="s">
        <v>389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630</v>
      </c>
      <c r="J148" t="s">
        <v>259</v>
      </c>
      <c r="K148" s="155" t="s">
        <v>260</v>
      </c>
      <c r="L148" t="s">
        <v>383</v>
      </c>
      <c r="M148" t="s">
        <v>390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631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632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633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634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635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636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637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638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639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640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421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422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423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424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425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426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427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428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429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430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431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432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433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434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435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436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437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438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439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440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441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442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443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444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445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446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447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448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449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450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451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452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453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454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455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456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457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458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459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460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461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462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463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464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465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466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467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468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469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470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471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472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473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474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475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476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477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478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479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480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481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482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483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484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485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486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487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488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489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490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491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492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493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494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495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496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497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498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499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500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501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502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503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504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505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506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507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508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509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510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511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512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513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514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515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516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517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518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519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520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521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522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523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524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525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526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527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528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529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530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531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532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523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524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525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526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527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528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529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530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531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532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533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534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535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536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537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538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539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540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541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542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543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544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545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546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547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548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549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550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551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552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553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554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555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556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557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558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559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560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561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562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563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564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565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566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567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568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569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570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571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572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573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574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575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576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577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578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579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580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581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582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Song, Brian (Yosu)</cp:lastModifiedBy>
  <cp:lastPrinted>2023-08-21T01:31:29Z</cp:lastPrinted>
  <dcterms:created xsi:type="dcterms:W3CDTF">2022-11-23T02:24:26Z</dcterms:created>
  <dcterms:modified xsi:type="dcterms:W3CDTF">2023-10-30T06:08:11Z</dcterms:modified>
</cp:coreProperties>
</file>