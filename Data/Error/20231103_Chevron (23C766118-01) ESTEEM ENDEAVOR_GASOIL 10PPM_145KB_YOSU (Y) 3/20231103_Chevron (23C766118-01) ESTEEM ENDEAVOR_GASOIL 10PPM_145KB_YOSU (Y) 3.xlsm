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yunjin_kim\Desktop\임시 보관\NAVARIK ERROR\20231103_Chevron (23C766118-01) ESTEEM ENDEAVOR_GASOIL 10PPM_145KB_YOSU (Y) 3\"/>
    </mc:Choice>
  </mc:AlternateContent>
  <xr:revisionPtr revIDLastSave="0" documentId="13_ncr:1_{6CC2093C-7CDF-4153-A069-EDA52D8C730F}" xr6:coauthVersionLast="47" xr6:coauthVersionMax="47" xr10:uidLastSave="{00000000-0000-0000-0000-000000000000}"/>
  <bookViews>
    <workbookView xWindow="28680" yWindow="-120" windowWidth="29040" windowHeight="15840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F36" i="1"/>
  <c r="F37" i="1" s="1"/>
  <c r="D36" i="1"/>
  <c r="D37" i="1" s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24" i="1"/>
  <c r="C36" i="1"/>
  <c r="C37" i="1" s="1"/>
</calcChain>
</file>

<file path=xl/sharedStrings.xml><?xml version="1.0" encoding="utf-8"?>
<sst xmlns="http://schemas.openxmlformats.org/spreadsheetml/2006/main" count="1350" uniqueCount="827">
  <si>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</si>
  <si>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</si>
  <si>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</si>
  <si>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</si>
  <si>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</si>
  <si>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</si>
  <si>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</si>
  <si>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</si>
  <si>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</si>
  <si>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</si>
  <si>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</si>
  <si>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</si>
  <si>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</si>
  <si>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</si>
  <si>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</si>
  <si>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</si>
  <si>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</si>
  <si>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</si>
  <si>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</si>
  <si>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</si>
  <si>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</si>
  <si>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</si>
  <si>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</si>
  <si>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</si>
  <si>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</si>
  <si>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</si>
  <si>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</si>
  <si>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</si>
  <si>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</si>
  <si>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</si>
  <si>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</si>
  <si>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</si>
  <si>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</si>
  <si>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</si>
  <si>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</si>
  <si>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</si>
  <si>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</si>
  <si>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</si>
  <si>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</si>
  <si>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</si>
  <si>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</si>
  <si>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</si>
  <si>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</si>
  <si>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</si>
  <si>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</si>
  <si>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</si>
  <si>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</si>
  <si>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</si>
  <si>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</si>
  <si>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</si>
  <si>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</si>
  <si>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</si>
  <si>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</si>
  <si>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</si>
  <si>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</si>
  <si>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</si>
  <si>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</si>
  <si>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</si>
  <si>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</si>
  <si>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</si>
  <si>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</si>
  <si>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</si>
  <si>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</si>
  <si>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</si>
  <si>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</si>
  <si>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</si>
  <si>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</si>
  <si>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</si>
  <si>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</si>
  <si>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</si>
  <si>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</si>
  <si>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</si>
  <si>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</si>
  <si>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</si>
  <si>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</si>
  <si>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</si>
  <si>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</si>
  <si>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</si>
  <si>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</si>
  <si>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</si>
  <si>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</si>
  <si>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</si>
  <si>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</si>
  <si>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</si>
  <si>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</si>
  <si>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</si>
  <si>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</si>
  <si>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</si>
  <si>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</si>
  <si>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</si>
  <si>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</si>
  <si>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</si>
  <si>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</si>
  <si>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</si>
  <si>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</si>
  <si>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</si>
  <si>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</si>
  <si>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</si>
  <si>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</si>
  <si>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</si>
  <si>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</si>
  <si>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</si>
  <si>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</si>
  <si>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</si>
  <si>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</si>
  <si>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</si>
  <si>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</si>
  <si>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</si>
  <si>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</si>
  <si>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</si>
  <si>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</si>
  <si>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</si>
  <si>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</si>
  <si>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</si>
  <si>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</si>
  <si>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</si>
  <si>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</si>
  <si>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</si>
  <si>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</si>
  <si>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</si>
  <si>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</si>
  <si>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</si>
  <si>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</si>
  <si>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</si>
  <si>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</si>
  <si>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</si>
  <si>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</si>
  <si>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</si>
  <si>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</si>
  <si>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</si>
  <si>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</si>
  <si>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</si>
  <si>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</si>
  <si>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</si>
  <si>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</si>
  <si>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</si>
  <si>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</si>
  <si>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</si>
  <si>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</si>
  <si>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</si>
  <si>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</si>
  <si>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</si>
  <si>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</si>
  <si>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</si>
  <si>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</si>
  <si>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</si>
  <si>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</si>
  <si>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</si>
  <si>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</si>
  <si>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</si>
  <si>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</si>
  <si>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</si>
  <si>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</si>
  <si>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</si>
  <si>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</si>
  <si>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</si>
  <si>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</si>
  <si>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</si>
  <si>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</si>
  <si>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</si>
  <si>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</si>
  <si>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</si>
  <si>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</si>
  <si>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</si>
  <si>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</si>
  <si>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</si>
  <si>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</si>
  <si>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</si>
  <si>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</si>
  <si>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</si>
  <si>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</si>
  <si>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</si>
  <si>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</si>
  <si>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</si>
  <si>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</si>
  <si>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</si>
  <si>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</si>
  <si>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</si>
  <si>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</si>
  <si>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</si>
  <si>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</si>
  <si>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</si>
  <si>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</si>
  <si>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</si>
  <si>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</si>
  <si>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</si>
  <si>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</si>
  <si>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</si>
  <si>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</si>
  <si>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</si>
  <si>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</si>
  <si>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</si>
  <si>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</si>
  <si>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</si>
  <si>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</si>
  <si>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</si>
  <si>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</si>
  <si>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</si>
  <si>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</si>
  <si>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</si>
  <si>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</si>
  <si>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</si>
  <si>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</si>
  <si>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</si>
  <si>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</si>
  <si>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</si>
  <si>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</si>
  <si>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</si>
  <si>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</si>
  <si>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</si>
  <si>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</si>
  <si>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</si>
  <si>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</si>
  <si>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</si>
  <si>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</si>
  <si>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</si>
  <si>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</si>
  <si>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</si>
  <si>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</si>
  <si>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</si>
  <si>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</si>
  <si>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</si>
  <si>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</si>
  <si>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</si>
  <si>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</si>
  <si>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</si>
  <si>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</si>
  <si>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</si>
  <si>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</si>
  <si>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</si>
  <si>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</si>
  <si>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</si>
  <si>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</si>
  <si>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</si>
  <si>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</si>
  <si>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</si>
  <si>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</si>
  <si>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</si>
  <si>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</si>
  <si>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</si>
  <si>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</si>
  <si>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</si>
  <si>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</si>
  <si>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</si>
  <si>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</si>
  <si>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</si>
  <si>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</si>
  <si>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</si>
  <si>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</si>
  <si>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</si>
  <si>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</si>
  <si>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</si>
  <si>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</si>
  <si>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</si>
  <si>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</si>
  <si>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</si>
  <si>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</si>
  <si>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</si>
  <si>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</si>
  <si>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</si>
  <si>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</si>
  <si>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</si>
  <si>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</si>
  <si>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</si>
  <si>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</si>
  <si>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</si>
  <si>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</si>
  <si>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</si>
  <si>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</si>
  <si>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</si>
  <si>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</si>
  <si>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</si>
  <si>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</si>
  <si>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</si>
  <si>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</si>
  <si>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</si>
  <si>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</si>
  <si>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</si>
  <si>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</si>
  <si>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</si>
  <si>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</si>
  <si>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</si>
  <si>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</si>
  <si>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</si>
  <si>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</si>
  <si>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</si>
  <si>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</si>
  <si>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</si>
  <si>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</si>
  <si>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</si>
  <si>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</si>
  <si>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</si>
  <si>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</si>
  <si>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</si>
  <si>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</si>
  <si>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</si>
  <si>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</si>
  <si>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</si>
  <si>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</si>
  <si>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</si>
  <si>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</si>
  <si>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</si>
  <si>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</si>
  <si>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</si>
  <si>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</si>
  <si>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</si>
  <si>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</si>
  <si>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</si>
  <si>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</si>
  <si>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</si>
  <si>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</si>
  <si>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</si>
  <si>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</si>
  <si>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</si>
  <si>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</si>
  <si>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</si>
  <si>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</si>
  <si>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</si>
  <si>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</si>
  <si>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</si>
  <si>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</si>
  <si>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</si>
  <si>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</si>
  <si>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</si>
  <si>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</si>
  <si>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</si>
  <si>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</si>
  <si>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</si>
  <si>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</si>
  <si>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</si>
  <si>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</si>
  <si>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</si>
  <si>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</si>
  <si>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</si>
  <si>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</si>
  <si>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</si>
  <si>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</si>
  <si>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</si>
  <si>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</si>
  <si>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</si>
  <si>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</si>
  <si>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</si>
  <si>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</si>
  <si>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</si>
  <si>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</si>
  <si>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</si>
  <si>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</si>
  <si>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</si>
  <si>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</si>
  <si>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</si>
  <si>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</si>
  <si>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</si>
  <si>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</si>
  <si>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</si>
  <si>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</si>
  <si>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</si>
  <si>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</si>
  <si>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</si>
  <si>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</si>
  <si>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</si>
  <si>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</si>
  <si>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</si>
  <si>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</si>
  <si>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</si>
  <si>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</si>
  <si>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</si>
  <si>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</si>
  <si>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</si>
  <si>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</si>
  <si>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</si>
  <si>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</si>
  <si>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</si>
  <si>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</si>
  <si>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</si>
  <si>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</si>
  <si>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</si>
  <si>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</si>
  <si>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</si>
  <si>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</si>
  <si>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</si>
  <si>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</si>
  <si>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</si>
  <si>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</si>
  <si>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</si>
  <si>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</si>
  <si>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</si>
  <si>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</si>
  <si>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</si>
  <si>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</si>
  <si>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</si>
  <si>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</si>
  <si>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</si>
  <si>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</si>
  <si>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</si>
  <si>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</si>
  <si>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</si>
  <si>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</si>
  <si>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</si>
  <si>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</si>
  <si>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</si>
  <si>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</si>
  <si>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</si>
  <si>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</si>
  <si>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</si>
  <si>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</si>
  <si>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</si>
  <si>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</si>
  <si>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</si>
  <si>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</si>
  <si>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</si>
  <si>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</si>
  <si>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</si>
  <si>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</si>
  <si>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</si>
  <si>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</si>
  <si>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</si>
  <si>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</si>
  <si>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</si>
  <si>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</si>
  <si>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</si>
  <si>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</si>
  <si>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</si>
  <si>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</si>
  <si>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</si>
  <si>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</si>
  <si>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</si>
  <si>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</si>
  <si>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</si>
  <si>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</si>
  <si>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</si>
  <si>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</si>
  <si>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</si>
  <si>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</si>
  <si>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</si>
  <si>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</si>
  <si>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</si>
  <si>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</si>
  <si>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</si>
  <si>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</si>
  <si>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</si>
  <si>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</si>
  <si>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</si>
  <si>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</si>
  <si>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</si>
  <si>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</si>
  <si>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</si>
  <si>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</si>
  <si>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</si>
  <si>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</si>
  <si>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</si>
  <si>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</si>
  <si>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</si>
  <si>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</si>
  <si>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</si>
  <si>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</si>
  <si>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</si>
  <si>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</si>
  <si>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</si>
  <si>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</si>
  <si>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</si>
  <si>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</si>
  <si>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</si>
  <si>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</si>
  <si>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</si>
  <si>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</si>
  <si>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</si>
  <si>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</si>
  <si>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</si>
  <si>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</si>
  <si>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</si>
  <si>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</si>
  <si>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</si>
  <si>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</si>
  <si>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</si>
  <si>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</si>
  <si>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</si>
  <si>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</si>
  <si>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</si>
  <si>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</si>
  <si>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</si>
  <si>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</si>
  <si>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</si>
  <si>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</si>
  <si>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</si>
  <si>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</si>
  <si>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</si>
  <si>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</si>
  <si>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</si>
  <si>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</si>
  <si>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</si>
  <si>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</si>
  <si>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</si>
  <si>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</si>
  <si>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</si>
  <si>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</si>
  <si>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</si>
  <si>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</si>
  <si>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</si>
  <si>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</si>
  <si>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</si>
  <si>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</si>
  <si>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</si>
  <si>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</si>
  <si>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</si>
  <si>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</si>
  <si>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</si>
  <si>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</si>
  <si>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</si>
  <si>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</si>
  <si>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</si>
  <si>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</si>
  <si>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</si>
  <si>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</si>
  <si>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</si>
  <si>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</si>
  <si>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</si>
  <si>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</si>
  <si>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</si>
  <si>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</si>
  <si>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</si>
  <si>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</si>
  <si>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</si>
  <si>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</si>
  <si>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</si>
  <si>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</si>
  <si>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</si>
  <si>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</si>
  <si>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</si>
  <si>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</si>
  <si>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</si>
  <si>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</si>
  <si>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</si>
  <si>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</si>
  <si>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</si>
  <si>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</si>
  <si>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</si>
  <si>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</si>
  <si>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</si>
  <si>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</si>
  <si>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</si>
  <si>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</si>
  <si>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</si>
  <si>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</si>
  <si>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</si>
  <si>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</si>
  <si>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</si>
  <si>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</si>
  <si>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</si>
  <si>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</si>
  <si>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</si>
  <si>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</si>
  <si>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</si>
  <si>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</si>
  <si>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</si>
  <si>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</si>
  <si>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</si>
  <si>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</si>
  <si>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</si>
  <si>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</si>
  <si>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</si>
  <si>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</si>
  <si>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</si>
  <si>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</si>
  <si>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</si>
  <si>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</si>
  <si>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</si>
  <si>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</si>
  <si>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</si>
  <si>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</si>
  <si>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</si>
  <si>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</si>
  <si>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</si>
  <si>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</si>
  <si>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</si>
  <si>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</si>
  <si>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</si>
  <si>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</si>
  <si>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</si>
  <si>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</si>
  <si>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</si>
  <si>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</si>
  <si>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</si>
  <si>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</si>
  <si>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</si>
  <si>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</si>
  <si>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</si>
  <si>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</si>
  <si>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</si>
  <si>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</si>
  <si>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</si>
  <si>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</si>
  <si>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</si>
  <si>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</si>
  <si>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</si>
  <si>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</si>
  <si>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</si>
  <si>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</si>
  <si>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</si>
  <si>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</si>
  <si>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</si>
  <si>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</si>
  <si>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</si>
  <si>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</si>
  <si>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</si>
  <si>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</si>
  <si>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</si>
  <si>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</si>
  <si>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</si>
  <si>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</si>
  <si>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</si>
  <si>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</si>
  <si>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</si>
  <si>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</si>
  <si>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</si>
  <si>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</si>
  <si>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</si>
  <si>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</si>
  <si>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</si>
  <si>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</si>
  <si>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</si>
  <si>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</si>
  <si>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</si>
  <si>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</si>
  <si>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</si>
  <si>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</si>
  <si>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</si>
  <si>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</si>
  <si>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</si>
  <si>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</si>
  <si>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</si>
  <si>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</si>
  <si>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</si>
  <si>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</si>
  <si>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</si>
  <si>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</si>
  <si>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</si>
  <si>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</si>
  <si>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</si>
  <si>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</si>
  <si>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</si>
  <si>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</si>
  <si>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</si>
  <si>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</si>
  <si>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</si>
  <si>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</si>
  <si>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</si>
  <si>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</si>
  <si>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</si>
  <si>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</si>
  <si>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</si>
  <si>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</si>
  <si>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</si>
  <si>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</si>
  <si>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</si>
  <si>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</si>
  <si>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</si>
  <si>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</si>
  <si>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</si>
  <si>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</si>
  <si>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</si>
  <si>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</si>
  <si>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</si>
  <si>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</si>
  <si>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</si>
  <si>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</si>
  <si>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</si>
  <si>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</si>
  <si>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</si>
  <si>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</si>
  <si>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</si>
  <si>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</si>
  <si>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</si>
  <si>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</si>
  <si>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</si>
  <si>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</si>
  <si>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</si>
  <si>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</si>
  <si>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</si>
  <si>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</si>
  <si>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</si>
  <si>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</si>
  <si>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</si>
  <si>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</si>
  <si>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</si>
  <si>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</si>
  <si>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</si>
  <si>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</si>
  <si>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</si>
  <si>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</si>
  <si>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</si>
  <si>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</si>
  <si>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</si>
  <si>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</si>
  <si>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</si>
  <si>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</si>
  <si>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</si>
  <si>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</si>
  <si>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23C766118-01</t>
  </si>
  <si>
    <t>ESTEEM ENDEAVOR</t>
  </si>
  <si>
    <t>Gasoil 0.001%S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</si>
  <si>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</si>
  <si>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</si>
  <si>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</si>
  <si>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</si>
  <si>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</si>
  <si>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</si>
  <si>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</si>
  <si>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- 145500 Barrels</t>
  </si>
  <si>
    <t>Load JET A-1 - 49500 Barrels</t>
  </si>
  <si>
    <t>Load Unleaded Gasoline 95 Ron - 77500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</si>
  <si>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</si>
  <si>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</si>
  <si>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</si>
  <si>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</si>
  <si>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</si>
  <si>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</si>
  <si>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</si>
  <si>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</si>
  <si>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</si>
  <si>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</si>
  <si>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</si>
  <si>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</si>
  <si>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</si>
  <si>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</si>
  <si>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</si>
  <si>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</si>
  <si>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</si>
  <si>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</si>
  <si>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</si>
  <si>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</si>
  <si>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</si>
  <si>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</si>
  <si>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</si>
  <si>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</si>
  <si>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</si>
  <si>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</si>
  <si>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</si>
  <si>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</si>
  <si>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8 (buy)</t>
  </si>
  <si>
    <t>max = 11 (buy)</t>
  </si>
  <si>
    <t>max = 0.01 (buy)</t>
  </si>
  <si>
    <t>max = 0.20 (buy)</t>
  </si>
  <si>
    <t>min = 46 (buy)</t>
  </si>
  <si>
    <t>Report only</t>
  </si>
  <si>
    <t>max = 9 (buy)</t>
  </si>
  <si>
    <t>max = 1 (buy)</t>
  </si>
  <si>
    <t>min = 0.820 / max = 0.850 (buy)</t>
  </si>
  <si>
    <t>max = 360 (buy)</t>
  </si>
  <si>
    <t>min = 150 / max = 500 (buy)</t>
  </si>
  <si>
    <t>max = 0.05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</si>
  <si>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</si>
  <si>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</si>
  <si>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</si>
  <si>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</si>
  <si>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</si>
  <si>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</si>
  <si>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</si>
  <si>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</si>
  <si>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</si>
  <si>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</si>
  <si>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</si>
  <si>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</si>
  <si>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</si>
  <si>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</si>
  <si>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</si>
  <si>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</si>
  <si>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</si>
  <si>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</si>
  <si>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</si>
  <si>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</si>
  <si>
    <t>[ASTM] D664</t>
  </si>
  <si>
    <t>[ASTM] D4176 Procedure 2</t>
  </si>
  <si>
    <t>[IP] IP 391</t>
  </si>
  <si>
    <t>[ASTM] D482</t>
  </si>
  <si>
    <t>[ASTM] D4530</t>
  </si>
  <si>
    <t>[ASTM] D4737</t>
  </si>
  <si>
    <t>[IP] IP 309</t>
  </si>
  <si>
    <t>[ASTM] D2500</t>
  </si>
  <si>
    <t>[ASTM] D1500</t>
  </si>
  <si>
    <t>[ASTM] D130</t>
  </si>
  <si>
    <t>[ASTM] D4052</t>
  </si>
  <si>
    <t>[ASTM] D86</t>
  </si>
  <si>
    <t>[EN] EN 14078</t>
  </si>
  <si>
    <t>[IP] IP 387</t>
  </si>
  <si>
    <t>[ASTM] D93</t>
  </si>
  <si>
    <t>[IP] IP 570 - Procedure A</t>
  </si>
  <si>
    <t>[IP] IP 450</t>
  </si>
  <si>
    <t>[ASTM] D2274</t>
  </si>
  <si>
    <t>[ASTM] D5453</t>
  </si>
  <si>
    <t>[ASTM] D445</t>
  </si>
  <si>
    <t>[ASTM] D2709</t>
  </si>
  <si>
    <t>[OTHER] Additives (declaration)</t>
  </si>
  <si>
    <t>0</t>
    <phoneticPr fontId="1" type="noConversion"/>
  </si>
  <si>
    <t>&lt;</t>
  </si>
  <si>
    <t>0.02</t>
    <phoneticPr fontId="1" type="noConversion"/>
  </si>
  <si>
    <t>1</t>
    <phoneticPr fontId="1" type="noConversion"/>
  </si>
  <si>
    <t>pass</t>
    <phoneticPr fontId="1" type="noConversion"/>
  </si>
  <si>
    <t>26.5</t>
    <phoneticPr fontId="1" type="noConversion"/>
  </si>
  <si>
    <t>1.9</t>
    <phoneticPr fontId="1" type="noConversion"/>
  </si>
  <si>
    <t>0.01</t>
    <phoneticPr fontId="1" type="noConversion"/>
  </si>
  <si>
    <t>0.1</t>
    <phoneticPr fontId="1" type="noConversion"/>
  </si>
  <si>
    <t>51.9</t>
    <phoneticPr fontId="1" type="noConversion"/>
  </si>
  <si>
    <t>-5</t>
    <phoneticPr fontId="1" type="noConversion"/>
  </si>
  <si>
    <t>0.5</t>
    <phoneticPr fontId="1" type="noConversion"/>
  </si>
  <si>
    <t>1a</t>
  </si>
  <si>
    <t>0.8339</t>
    <phoneticPr fontId="1" type="noConversion"/>
  </si>
  <si>
    <t>352</t>
    <phoneticPr fontId="1" type="noConversion"/>
  </si>
  <si>
    <t>1.03</t>
    <phoneticPr fontId="1" type="noConversion"/>
  </si>
  <si>
    <t>440</t>
    <phoneticPr fontId="1" type="noConversion"/>
  </si>
  <si>
    <t>2.673</t>
    <phoneticPr fontId="1" type="noConversion"/>
  </si>
  <si>
    <t>170</t>
    <phoneticPr fontId="1" type="noConversion"/>
  </si>
  <si>
    <t>20D573</t>
    <phoneticPr fontId="1" type="noConversion"/>
  </si>
  <si>
    <t>HARRY LIM</t>
    <phoneticPr fontId="1" type="noConversion"/>
  </si>
  <si>
    <t>AUSTRALIA</t>
    <phoneticPr fontId="1" type="noConversion"/>
  </si>
  <si>
    <t>Y23-20024278-A</t>
    <phoneticPr fontId="1" type="noConversion"/>
  </si>
  <si>
    <t>Shore Tank Gauge</t>
  </si>
  <si>
    <t>6B</t>
  </si>
  <si>
    <t>SHIP'S TANK COMPOSITE</t>
    <phoneticPr fontId="1" type="noConversion"/>
  </si>
  <si>
    <t>GS CALTEX NO.3 PRODUCT WHARF</t>
    <phoneticPr fontId="1" type="noConversion"/>
  </si>
  <si>
    <t>0.05</t>
    <phoneticPr fontId="1" type="noConversion"/>
  </si>
  <si>
    <t>[ASTM] D974</t>
  </si>
  <si>
    <t>v</t>
    <phoneticPr fontId="1" type="noConversion"/>
  </si>
  <si>
    <t>&lt;</t>
    <phoneticPr fontId="1" type="noConversion"/>
  </si>
  <si>
    <t>66.0</t>
    <phoneticPr fontId="1" type="noConversion"/>
  </si>
  <si>
    <t>0.60</t>
    <phoneticPr fontId="1" type="noConversion"/>
  </si>
  <si>
    <t>1.0</t>
    <phoneticPr fontId="1" type="noConversion"/>
  </si>
  <si>
    <t>7.0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</si>
</sst>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15" fillId="22" borderId="1" xfId="0" applyFont="1" applyFill="1" applyBorder="1" applyAlignment="1" applyProtection="1">
      <alignment horizontal="left" vertical="center" wrapText="1"/>
      <protection locked="0"/>
    </xf>
    <xf numFmtId="49" fontId="15" fillId="22" borderId="1" xfId="0" applyNumberFormat="1" applyFont="1" applyFill="1" applyBorder="1" applyAlignment="1" applyProtection="1">
      <alignment horizontal="left" vertical="center"/>
      <protection locked="0"/>
    </xf>
  </cellXfs>
  <cellStyles count="2">
    <cellStyle name="표준" xfId="0" builtinId="0"/>
    <cellStyle name="하이퍼링크" xfId="1" builtinId="8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22860</xdr:rowOff>
        </xdr:from>
        <xdr:to>
          <xdr:col>1</xdr:col>
          <xdr:colOff>1325880</xdr:colOff>
          <xdr:row>9</xdr:row>
          <xdr:rowOff>182880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182880</xdr:rowOff>
        </xdr:from>
        <xdr:to>
          <xdr:col>1</xdr:col>
          <xdr:colOff>1318260</xdr:colOff>
          <xdr:row>11</xdr:row>
          <xdr:rowOff>22860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7620</xdr:rowOff>
        </xdr:from>
        <xdr:to>
          <xdr:col>1</xdr:col>
          <xdr:colOff>1318260</xdr:colOff>
          <xdr:row>11</xdr:row>
          <xdr:rowOff>175260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22860</xdr:rowOff>
        </xdr:from>
        <xdr:to>
          <xdr:col>2</xdr:col>
          <xdr:colOff>861060</xdr:colOff>
          <xdr:row>13</xdr:row>
          <xdr:rowOff>175260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426720</xdr:rowOff>
        </xdr:from>
        <xdr:to>
          <xdr:col>2</xdr:col>
          <xdr:colOff>1493520</xdr:colOff>
          <xdr:row>13</xdr:row>
          <xdr:rowOff>182880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91440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541020</xdr:colOff>
          <xdr:row>89</xdr:row>
          <xdr:rowOff>160020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9" zoomScaleNormal="100" workbookViewId="0">
      <selection activeCell="F16" sqref="F16"/>
    </sheetView>
  </sheetViews>
  <sheetFormatPr defaultColWidth="8.69921875" defaultRowHeight="18" customHeight="1"/>
  <cols>
    <col min="1" max="1" width="2.8984375" style="92" customWidth="1"/>
    <col min="2" max="2" width="20.59765625" style="92" customWidth="1"/>
    <col min="3" max="3" width="31.69921875" style="92" customWidth="1"/>
    <col min="4" max="5" width="2.59765625" style="102" customWidth="1"/>
    <col min="6" max="11" width="10.69921875" style="102" customWidth="1"/>
    <col min="12" max="19" width="8.69921875" style="102"/>
    <col min="20" max="16384" width="8.699218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393</v>
      </c>
      <c r="C5" s="148" t="s">
        <v>145</v>
      </c>
      <c r="E5" s="221" t="s">
        <v>646</v>
      </c>
      <c r="F5" s="233" t="s">
        <v>675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harry.lim@sgs.com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395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672</v>
      </c>
      <c r="C9" s="218" t="s">
        <v>673</v>
      </c>
      <c r="E9" s="226" t="s">
        <v>676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646</v>
      </c>
      <c r="F10" s="233" t="s">
        <v>679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646</v>
      </c>
      <c r="F11" s="233" t="s">
        <v>678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646</v>
      </c>
      <c r="F12" s="233" t="s">
        <v>680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5" customHeight="1" thickBot="1">
      <c r="B13" s="216" t="s">
        <v>674</v>
      </c>
      <c r="E13" s="227" t="s">
        <v>677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671</v>
      </c>
      <c r="C14" s="209"/>
      <c r="E14" s="221" t="s">
        <v>646</v>
      </c>
      <c r="F14" s="233" t="s">
        <v>681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669</v>
      </c>
      <c r="C15" s="192"/>
      <c r="E15" s="221" t="s">
        <v>646</v>
      </c>
      <c r="F15" s="233" t="s">
        <v>682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670</v>
      </c>
      <c r="C16" s="169"/>
      <c r="E16" s="221" t="s">
        <v>646</v>
      </c>
      <c r="F16" s="233" t="s">
        <v>683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696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697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698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699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384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391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392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407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406</v>
      </c>
      <c r="C29" s="173">
        <f ca="1">TODAY()</f>
        <v>45243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408</v>
      </c>
      <c r="C30" s="173">
        <f ca="1">IF(C29="","",EDATE(C29,-6))</f>
        <v>45059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409</v>
      </c>
      <c r="C31" s="173">
        <f ca="1">IF(C29="","",EDATE(C29,3))</f>
        <v>45335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398</v>
      </c>
      <c r="C34" s="235" t="s">
        <v>392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642</v>
      </c>
      <c r="C35" s="237" t="s">
        <v>668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643</v>
      </c>
      <c r="C36" s="237" t="s">
        <v>667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22860</xdr:rowOff>
                  </from>
                  <to>
                    <xdr:col>1</xdr:col>
                    <xdr:colOff>1325880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182880</xdr:rowOff>
                  </from>
                  <to>
                    <xdr:col>1</xdr:col>
                    <xdr:colOff>1318260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22860</xdr:colOff>
                    <xdr:row>11</xdr:row>
                    <xdr:rowOff>7620</xdr:rowOff>
                  </from>
                  <to>
                    <xdr:col>1</xdr:col>
                    <xdr:colOff>1318260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137160</xdr:colOff>
                    <xdr:row>13</xdr:row>
                    <xdr:rowOff>22860</xdr:rowOff>
                  </from>
                  <to>
                    <xdr:col>2</xdr:col>
                    <xdr:colOff>861060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426720</xdr:rowOff>
                  </from>
                  <to>
                    <xdr:col>2</xdr:col>
                    <xdr:colOff>1493520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 activeCell="C6" sqref="C6"/>
    </sheetView>
  </sheetViews>
  <sheetFormatPr defaultColWidth="8.69921875" defaultRowHeight="13.95" customHeight="1"/>
  <cols>
    <col min="1" max="1" width="3.3984375" style="81" customWidth="1"/>
    <col min="2" max="2" width="2.19921875" style="2" customWidth="1"/>
    <col min="3" max="3" width="29.19921875" style="2" customWidth="1"/>
    <col min="4" max="4" width="47.69921875" style="2" customWidth="1"/>
    <col min="5" max="5" width="13.19921875" style="1" customWidth="1"/>
    <col min="6" max="6" width="9.09765625" style="1" customWidth="1"/>
    <col min="7" max="7" width="16.19921875" style="1" customWidth="1"/>
    <col min="8" max="8" width="12.5" style="1" customWidth="1"/>
    <col min="9" max="9" width="3.3984375" style="1" customWidth="1"/>
    <col min="10" max="10" width="3.5" style="1" customWidth="1"/>
    <col min="11" max="11" width="58.09765625" style="1" customWidth="1"/>
    <col min="12" max="12" width="13.19921875" style="1" customWidth="1"/>
    <col min="13" max="13" width="9.09765625" style="1" customWidth="1"/>
    <col min="14" max="14" width="13.19921875" style="1" customWidth="1"/>
    <col min="15" max="15" width="9.09765625" style="1" customWidth="1"/>
    <col min="16" max="16" width="3.8984375" style="1" customWidth="1"/>
    <col min="17" max="26" width="8.69921875" style="1"/>
    <col min="27" max="27" width="0" style="1" hidden="1" customWidth="1"/>
    <col min="28" max="39" width="8.69921875" style="1"/>
    <col min="40" max="41" width="8.69921875" style="1" customWidth="1"/>
    <col min="42" max="42" width="8.69921875" style="1"/>
    <col min="43" max="43" width="8.69921875" style="1" customWidth="1"/>
    <col min="44" max="16384" width="8.69921875" style="1"/>
  </cols>
  <sheetData>
    <row r="1" spans="1:36" ht="13.95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5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5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5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5" customHeight="1">
      <c r="A5" s="80">
        <v>1</v>
      </c>
      <c r="B5" s="122"/>
      <c r="C5" s="123" t="s">
        <v>457</v>
      </c>
      <c r="D5" s="57"/>
      <c r="E5" s="94">
        <v>45233</v>
      </c>
      <c r="F5" s="59">
        <v>1748</v>
      </c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5" customHeight="1">
      <c r="A6" s="80">
        <v>2</v>
      </c>
      <c r="B6" s="122" t="s">
        <v>710</v>
      </c>
      <c r="C6" s="123" t="s">
        <v>525</v>
      </c>
      <c r="D6" s="57"/>
      <c r="E6" s="94">
        <v>45237</v>
      </c>
      <c r="F6" s="59">
        <v>1</v>
      </c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5" customHeight="1">
      <c r="A7" s="80">
        <v>3</v>
      </c>
      <c r="B7" s="122"/>
      <c r="C7" s="123" t="s">
        <v>700</v>
      </c>
      <c r="D7" s="57"/>
      <c r="E7" s="94">
        <v>45237</v>
      </c>
      <c r="F7" s="59">
        <v>24</v>
      </c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5" customHeight="1">
      <c r="A8" s="80">
        <v>4</v>
      </c>
      <c r="B8" s="122"/>
      <c r="C8" s="123" t="s">
        <v>529</v>
      </c>
      <c r="D8" s="57"/>
      <c r="E8" s="94">
        <v>45241</v>
      </c>
      <c r="F8" s="59">
        <v>1524</v>
      </c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5" customHeight="1">
      <c r="A9" s="80">
        <v>5</v>
      </c>
      <c r="B9" s="122"/>
      <c r="C9" s="123" t="s">
        <v>701</v>
      </c>
      <c r="D9" s="57"/>
      <c r="E9" s="94">
        <v>45241</v>
      </c>
      <c r="F9" s="59">
        <v>1318</v>
      </c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5" customHeight="1">
      <c r="A10" s="80">
        <v>6</v>
      </c>
      <c r="B10" s="122"/>
      <c r="C10" s="123" t="s">
        <v>496</v>
      </c>
      <c r="D10" s="57"/>
      <c r="E10" s="94">
        <v>45241</v>
      </c>
      <c r="F10" s="59">
        <v>1642</v>
      </c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5" customHeight="1">
      <c r="A11" s="80">
        <v>7</v>
      </c>
      <c r="B11" s="122" t="s">
        <v>710</v>
      </c>
      <c r="C11" s="123" t="s">
        <v>702</v>
      </c>
      <c r="D11" s="57"/>
      <c r="E11" s="94">
        <v>45241</v>
      </c>
      <c r="F11" s="59">
        <v>1718</v>
      </c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5" customHeight="1">
      <c r="A12" s="80">
        <v>8</v>
      </c>
      <c r="B12" s="122"/>
      <c r="C12" s="123" t="s">
        <v>499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5" customHeight="1">
      <c r="A13" s="80">
        <v>9</v>
      </c>
      <c r="B13" s="122"/>
      <c r="C13" s="123" t="s">
        <v>510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5" customHeight="1">
      <c r="A14" s="80">
        <v>10</v>
      </c>
      <c r="B14" s="122"/>
      <c r="C14" s="123" t="s">
        <v>703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5" customHeight="1">
      <c r="A15" s="80">
        <v>11</v>
      </c>
      <c r="B15" s="122"/>
      <c r="C15" s="123" t="s">
        <v>480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5" customHeight="1">
      <c r="A16" s="80">
        <v>12</v>
      </c>
      <c r="B16" s="122" t="s">
        <v>710</v>
      </c>
      <c r="C16" s="123" t="s">
        <v>502</v>
      </c>
      <c r="D16" s="57"/>
      <c r="E16" s="94">
        <v>45241</v>
      </c>
      <c r="F16" s="59">
        <v>1748</v>
      </c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5" customHeight="1">
      <c r="A17" s="80">
        <v>13</v>
      </c>
      <c r="B17" s="122" t="s">
        <v>710</v>
      </c>
      <c r="C17" s="123" t="s">
        <v>704</v>
      </c>
      <c r="D17" s="57" t="s">
        <v>707</v>
      </c>
      <c r="E17" s="94">
        <v>45241</v>
      </c>
      <c r="F17" s="59">
        <v>2006</v>
      </c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5" customHeight="1">
      <c r="A18" s="80">
        <v>14</v>
      </c>
      <c r="B18" s="122" t="s">
        <v>710</v>
      </c>
      <c r="C18" s="123" t="s">
        <v>704</v>
      </c>
      <c r="D18" s="57" t="s">
        <v>708</v>
      </c>
      <c r="E18" s="94">
        <v>45241</v>
      </c>
      <c r="F18" s="59">
        <v>2018</v>
      </c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5" customHeight="1">
      <c r="A19" s="80">
        <v>15</v>
      </c>
      <c r="B19" s="122" t="s">
        <v>710</v>
      </c>
      <c r="C19" s="123" t="s">
        <v>704</v>
      </c>
      <c r="D19" s="57" t="s">
        <v>709</v>
      </c>
      <c r="E19" s="94">
        <v>45242</v>
      </c>
      <c r="F19" s="59">
        <v>512</v>
      </c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5" customHeight="1">
      <c r="A20" s="80">
        <v>16</v>
      </c>
      <c r="B20" s="122"/>
      <c r="C20" s="123" t="s">
        <v>705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5" customHeight="1">
      <c r="A21" s="80">
        <v>17</v>
      </c>
      <c r="B21" s="122"/>
      <c r="C21" s="123" t="s">
        <v>467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5" customHeight="1">
      <c r="A22" s="80">
        <v>18</v>
      </c>
      <c r="B22" s="122" t="s">
        <v>710</v>
      </c>
      <c r="C22" s="123" t="s">
        <v>479</v>
      </c>
      <c r="D22" s="58" t="s">
        <v>707</v>
      </c>
      <c r="E22" s="94">
        <v>45242</v>
      </c>
      <c r="F22" s="59">
        <v>1130</v>
      </c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5" customHeight="1">
      <c r="A23" s="80">
        <v>19</v>
      </c>
      <c r="B23" s="122" t="s">
        <v>710</v>
      </c>
      <c r="C23" s="123" t="s">
        <v>479</v>
      </c>
      <c r="D23" s="57" t="s">
        <v>708</v>
      </c>
      <c r="E23" s="94">
        <v>45242</v>
      </c>
      <c r="F23" s="59">
        <v>448</v>
      </c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5" customHeight="1">
      <c r="A24" s="80">
        <v>20</v>
      </c>
      <c r="B24" s="122" t="s">
        <v>710</v>
      </c>
      <c r="C24" s="123" t="s">
        <v>479</v>
      </c>
      <c r="D24" s="57" t="s">
        <v>709</v>
      </c>
      <c r="E24" s="94">
        <v>45242</v>
      </c>
      <c r="F24" s="59">
        <v>1430</v>
      </c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5" customHeight="1">
      <c r="A25" s="80">
        <v>21</v>
      </c>
      <c r="B25" s="122"/>
      <c r="C25" s="123" t="s">
        <v>706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368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5" customHeight="1">
      <c r="A26" s="80">
        <v>22</v>
      </c>
      <c r="B26" s="122" t="s">
        <v>710</v>
      </c>
      <c r="C26" s="123" t="s">
        <v>503</v>
      </c>
      <c r="D26" s="57"/>
      <c r="E26" s="94">
        <v>45242</v>
      </c>
      <c r="F26" s="59">
        <v>1500</v>
      </c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1</v>
      </c>
    </row>
    <row r="27" spans="1:27" ht="13.95" customHeight="1">
      <c r="A27" s="80">
        <v>23</v>
      </c>
      <c r="B27" s="122"/>
      <c r="C27" s="123" t="s">
        <v>475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5" customHeight="1">
      <c r="A28" s="80">
        <v>24</v>
      </c>
      <c r="B28" s="122"/>
      <c r="C28" s="123" t="s">
        <v>466</v>
      </c>
      <c r="D28" s="57"/>
      <c r="E28" s="94"/>
      <c r="F28" s="59"/>
      <c r="G28" s="60"/>
      <c r="H28" s="203" t="str">
        <f t="shared" si="0"/>
        <v>-</v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5" customHeight="1">
      <c r="A29" s="80">
        <v>25</v>
      </c>
      <c r="B29" s="122"/>
      <c r="C29" s="123" t="s">
        <v>527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5" customHeight="1">
      <c r="A30" s="80">
        <v>26</v>
      </c>
      <c r="B30" s="122" t="s">
        <v>710</v>
      </c>
      <c r="C30" s="123" t="s">
        <v>562</v>
      </c>
      <c r="D30" s="57"/>
      <c r="E30" s="94">
        <v>45242</v>
      </c>
      <c r="F30" s="59">
        <v>1800</v>
      </c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1</v>
      </c>
    </row>
    <row r="31" spans="1:27" ht="13.95" customHeight="1">
      <c r="A31" s="80">
        <v>27</v>
      </c>
      <c r="B31" s="122"/>
      <c r="C31" s="123" t="s">
        <v>497</v>
      </c>
      <c r="D31" s="57"/>
      <c r="E31" s="94"/>
      <c r="F31" s="59"/>
      <c r="G31" s="60"/>
      <c r="H31" s="203" t="str">
        <f t="shared" si="0"/>
        <v>-</v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5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5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5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5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5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5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5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5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5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5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5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5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5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5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5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5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5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5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5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5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5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5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5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5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5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5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5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5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5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5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5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5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5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5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5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5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5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5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5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5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>
      <selection activeCell="C29" sqref="C29"/>
    </sheetView>
  </sheetViews>
  <sheetFormatPr defaultColWidth="8.69921875" defaultRowHeight="15" customHeight="1"/>
  <cols>
    <col min="1" max="1" width="3.3984375" style="43" customWidth="1"/>
    <col min="2" max="2" width="32.69921875" style="43" customWidth="1"/>
    <col min="3" max="7" width="16.59765625" style="45" customWidth="1"/>
    <col min="8" max="9" width="3.3984375" style="43" customWidth="1"/>
    <col min="10" max="11" width="14" style="165" customWidth="1"/>
    <col min="12" max="12" width="4.69921875" style="165" customWidth="1"/>
    <col min="13" max="14" width="14" style="165" customWidth="1"/>
    <col min="15" max="15" width="3.3984375" style="165" customWidth="1"/>
    <col min="16" max="20" width="14" style="165" customWidth="1"/>
    <col min="21" max="21" width="3.3984375" style="165" customWidth="1"/>
    <col min="22" max="26" width="14" style="165" customWidth="1"/>
    <col min="27" max="27" width="3.3984375" style="165" customWidth="1"/>
    <col min="28" max="32" width="14" style="165" customWidth="1"/>
    <col min="33" max="33" width="3.3984375" style="165" customWidth="1"/>
    <col min="34" max="38" width="14" style="165" customWidth="1"/>
    <col min="39" max="39" width="3.3984375" style="165" customWidth="1"/>
    <col min="40" max="44" width="14" style="165" customWidth="1"/>
    <col min="45" max="45" width="3.3984375" style="165" customWidth="1"/>
    <col min="46" max="50" width="14" style="165" customWidth="1"/>
    <col min="51" max="51" width="3.3984375" style="165" customWidth="1"/>
    <col min="52" max="56" width="14" style="165" customWidth="1"/>
    <col min="57" max="57" width="3.3984375" style="165" customWidth="1"/>
    <col min="58" max="62" width="14" style="165" customWidth="1"/>
    <col min="63" max="16384" width="8.699218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644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>
        <v>45242</v>
      </c>
      <c r="D4" s="168" t="s">
        <v>323</v>
      </c>
      <c r="E4" s="25"/>
      <c r="F4" s="290" t="s">
        <v>814</v>
      </c>
      <c r="G4" s="291"/>
      <c r="H4" s="36"/>
    </row>
    <row r="5" spans="1:78" ht="15" customHeight="1">
      <c r="A5" s="36"/>
      <c r="B5" s="42" t="s">
        <v>224</v>
      </c>
      <c r="C5" s="46" t="s">
        <v>812</v>
      </c>
      <c r="D5" s="168" t="s">
        <v>226</v>
      </c>
      <c r="E5" s="25"/>
      <c r="F5" s="286" t="s">
        <v>815</v>
      </c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 t="s">
        <v>818</v>
      </c>
      <c r="D6" s="168" t="s">
        <v>273</v>
      </c>
      <c r="E6" s="25"/>
      <c r="F6" s="288" t="str">
        <f>IF('Navarik 설정'!C22="","",'Navarik 설정'!C22)</f>
        <v>Gasoil 0.001%S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 t="s">
        <v>813</v>
      </c>
      <c r="D7" s="168" t="s">
        <v>326</v>
      </c>
      <c r="E7" s="25"/>
      <c r="F7" s="61">
        <v>0.99939999999999996</v>
      </c>
      <c r="G7" s="200" t="s">
        <v>396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410</v>
      </c>
      <c r="C10" s="25" t="s">
        <v>684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>
        <f>IF(C12="","",C12)</f>
        <v>146090</v>
      </c>
      <c r="D11" s="31">
        <f t="shared" ref="D11" si="0">IF(D12="","",D12)</f>
        <v>23215.162</v>
      </c>
      <c r="E11" s="30">
        <f>IF(E12="","",E12)</f>
        <v>19027.099999999999</v>
      </c>
      <c r="F11" s="31">
        <f>IF(F12="","",F12)</f>
        <v>19332.5</v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647</v>
      </c>
      <c r="C12" s="27">
        <v>146090</v>
      </c>
      <c r="D12" s="28">
        <v>23215.162</v>
      </c>
      <c r="E12" s="27">
        <v>19027.099999999999</v>
      </c>
      <c r="F12" s="28">
        <v>19332.5</v>
      </c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>
        <f>IF(C12="","",C12)</f>
        <v>146090</v>
      </c>
      <c r="D13" s="31">
        <f t="shared" ref="D13" si="1">IF(D12="","",D12)</f>
        <v>23215.162</v>
      </c>
      <c r="E13" s="30">
        <f>IF(E12="","",E12)</f>
        <v>19027.099999999999</v>
      </c>
      <c r="F13" s="31">
        <f>IF(F12="","",F12)</f>
        <v>19332.5</v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 t="s">
        <v>816</v>
      </c>
      <c r="D15" s="44"/>
      <c r="E15" s="198" t="s">
        <v>650</v>
      </c>
      <c r="F15" s="37" t="s">
        <v>199</v>
      </c>
      <c r="G15" s="26">
        <v>0.83389999999999997</v>
      </c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>
        <v>24.3</v>
      </c>
      <c r="D16" s="24" t="s">
        <v>762</v>
      </c>
      <c r="E16" s="199" t="s">
        <v>397</v>
      </c>
      <c r="F16" s="37" t="s">
        <v>200</v>
      </c>
      <c r="G16" s="33">
        <v>38.1</v>
      </c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684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648</v>
      </c>
      <c r="C24" s="159">
        <f>IF(C25="","",C25)</f>
        <v>145921</v>
      </c>
      <c r="D24" s="160">
        <f>IF(D25="","",D25)</f>
        <v>23188.306</v>
      </c>
      <c r="E24" s="161">
        <f t="shared" ref="E24" si="5">IF(E25="","",E25)</f>
        <v>19005.099999999999</v>
      </c>
      <c r="F24" s="160">
        <f>IF(F25="","",F25)</f>
        <v>19310.099999999999</v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649</v>
      </c>
      <c r="C25" s="156">
        <v>145921</v>
      </c>
      <c r="D25" s="157">
        <v>23188.306</v>
      </c>
      <c r="E25" s="158">
        <v>19005.099999999999</v>
      </c>
      <c r="F25" s="157">
        <v>19310.099999999999</v>
      </c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>
        <f>IF(C25="","",C25)</f>
        <v>145921</v>
      </c>
      <c r="D26" s="160">
        <f t="shared" ref="D26" si="6">IF(D25="","",D25)</f>
        <v>23188.306</v>
      </c>
      <c r="E26" s="161">
        <f>IF(E25="","",E25)</f>
        <v>19005.099999999999</v>
      </c>
      <c r="F26" s="160">
        <f>IF(F25="","",F25)</f>
        <v>19310.099999999999</v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>6B</v>
      </c>
      <c r="D28" s="25"/>
      <c r="E28" s="25"/>
      <c r="F28" s="37" t="s">
        <v>199</v>
      </c>
      <c r="G28" s="99">
        <f>IF(G15="","",G15)</f>
        <v>0.83389999999999997</v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>
        <v>21.9</v>
      </c>
      <c r="D29" s="35" t="str">
        <f>IF(D16="","",D16)</f>
        <v>°C</v>
      </c>
      <c r="E29" s="25"/>
      <c r="F29" s="37" t="s">
        <v>200</v>
      </c>
      <c r="G29" s="100">
        <f>IF(G16="","",G16)</f>
        <v>38.1</v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°C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645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349</v>
      </c>
      <c r="C36" s="133">
        <f>IF(OR(C12="",C25=""),"",C25-C12)</f>
        <v>-169</v>
      </c>
      <c r="D36" s="133">
        <f>IF(OR(D12="",D25=""),"",D25-D12)</f>
        <v>-26.855999999999767</v>
      </c>
      <c r="E36" s="133">
        <f>IF(OR(E12="",E25=""),"",E25-E12)</f>
        <v>-22</v>
      </c>
      <c r="F36" s="133">
        <f>IF(OR(F12="",F25=""),"",F25-F12)</f>
        <v>-22.400000000001455</v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350</v>
      </c>
      <c r="C37" s="134">
        <f>IF(OR(C12="",C25=""),"",C36/C12*100)</f>
        <v>-0.11568211376548702</v>
      </c>
      <c r="D37" s="134">
        <f t="shared" ref="D37" si="7">IF(OR(D12="",D25=""),"",D36/D12*100)</f>
        <v>-0.11568301784842064</v>
      </c>
      <c r="E37" s="134">
        <f>IF(OR(E12="",E25=""),"",E36/E12*100)</f>
        <v>-0.11562455655354732</v>
      </c>
      <c r="F37" s="134">
        <f>IF(OR(F12="",F25=""),"",F36/F12*100)</f>
        <v>-0.11586706323549181</v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13" activePane="bottomRight" state="frozen"/>
      <selection activeCell="H12" sqref="H12"/>
      <selection pane="topRight" activeCell="H12" sqref="H12"/>
      <selection pane="bottomLeft" activeCell="H12" sqref="H12"/>
      <selection pane="bottomRight" activeCell="H33" sqref="H33:H36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315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 t="s">
        <v>811</v>
      </c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711</v>
      </c>
      <c r="D7" s="260" t="s">
        <v>770</v>
      </c>
      <c r="E7" s="126" t="s">
        <v>735</v>
      </c>
      <c r="F7" s="261"/>
      <c r="G7" s="20" t="s">
        <v>792</v>
      </c>
      <c r="H7" s="20"/>
      <c r="I7" s="262" t="s">
        <v>757</v>
      </c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711</v>
      </c>
      <c r="D8" s="260" t="s">
        <v>820</v>
      </c>
      <c r="E8" s="126" t="s">
        <v>736</v>
      </c>
      <c r="F8" s="261" t="s">
        <v>793</v>
      </c>
      <c r="G8" s="20" t="s">
        <v>794</v>
      </c>
      <c r="H8" s="20"/>
      <c r="I8" s="262" t="s">
        <v>757</v>
      </c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712</v>
      </c>
      <c r="D9" s="260" t="s">
        <v>771</v>
      </c>
      <c r="E9" s="126" t="s">
        <v>737</v>
      </c>
      <c r="F9" s="263"/>
      <c r="G9" s="20" t="s">
        <v>796</v>
      </c>
      <c r="H9" s="20"/>
      <c r="I9" s="262" t="s">
        <v>758</v>
      </c>
      <c r="J9" s="246" t="str">
        <f t="shared" si="16"/>
        <v/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713</v>
      </c>
      <c r="D10" s="260" t="s">
        <v>771</v>
      </c>
      <c r="E10" s="126" t="s">
        <v>737</v>
      </c>
      <c r="F10" s="263"/>
      <c r="G10" s="20" t="s">
        <v>795</v>
      </c>
      <c r="H10" s="20"/>
      <c r="I10" s="19" t="s">
        <v>759</v>
      </c>
      <c r="J10" s="246" t="str">
        <f t="shared" si="16"/>
        <v/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714</v>
      </c>
      <c r="D11" s="260" t="s">
        <v>772</v>
      </c>
      <c r="E11" s="126" t="s">
        <v>738</v>
      </c>
      <c r="F11" s="261"/>
      <c r="G11" s="20" t="s">
        <v>797</v>
      </c>
      <c r="H11" s="20"/>
      <c r="I11" s="262" t="s">
        <v>760</v>
      </c>
      <c r="J11" s="246" t="str">
        <f t="shared" si="16"/>
        <v/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714</v>
      </c>
      <c r="D12" s="260" t="s">
        <v>772</v>
      </c>
      <c r="E12" s="126" t="s">
        <v>739</v>
      </c>
      <c r="F12" s="261"/>
      <c r="G12" s="20" t="s">
        <v>798</v>
      </c>
      <c r="H12" s="20"/>
      <c r="I12" s="262" t="s">
        <v>760</v>
      </c>
      <c r="J12" s="246" t="str">
        <f t="shared" si="16"/>
        <v/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715</v>
      </c>
      <c r="D13" s="260" t="s">
        <v>773</v>
      </c>
      <c r="E13" s="126" t="s">
        <v>740</v>
      </c>
      <c r="F13" s="261" t="s">
        <v>793</v>
      </c>
      <c r="G13" s="20" t="s">
        <v>799</v>
      </c>
      <c r="H13" s="20"/>
      <c r="I13" s="262" t="s">
        <v>760</v>
      </c>
      <c r="J13" s="246" t="str">
        <f t="shared" si="16"/>
        <v/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716</v>
      </c>
      <c r="D14" s="260" t="s">
        <v>774</v>
      </c>
      <c r="E14" s="126" t="s">
        <v>741</v>
      </c>
      <c r="F14" s="261" t="s">
        <v>793</v>
      </c>
      <c r="G14" s="20" t="s">
        <v>800</v>
      </c>
      <c r="H14" s="20"/>
      <c r="I14" s="262" t="s">
        <v>760</v>
      </c>
      <c r="J14" s="246" t="str">
        <f t="shared" si="16"/>
        <v/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717</v>
      </c>
      <c r="D15" s="260" t="s">
        <v>775</v>
      </c>
      <c r="E15" s="126" t="s">
        <v>742</v>
      </c>
      <c r="F15" s="261"/>
      <c r="G15" s="20" t="s">
        <v>801</v>
      </c>
      <c r="H15" s="20"/>
      <c r="I15" s="262" t="s">
        <v>761</v>
      </c>
      <c r="J15" s="246" t="str">
        <f t="shared" si="16"/>
        <v/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718</v>
      </c>
      <c r="D16" s="260" t="s">
        <v>776</v>
      </c>
      <c r="E16" s="126" t="s">
        <v>743</v>
      </c>
      <c r="F16" s="261"/>
      <c r="G16" s="20" t="s">
        <v>802</v>
      </c>
      <c r="H16" s="20"/>
      <c r="I16" s="262" t="s">
        <v>762</v>
      </c>
      <c r="J16" s="246" t="str">
        <f t="shared" si="16"/>
        <v/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719</v>
      </c>
      <c r="D17" s="260" t="s">
        <v>777</v>
      </c>
      <c r="E17" s="126" t="s">
        <v>744</v>
      </c>
      <c r="F17" s="261"/>
      <c r="G17" s="20" t="s">
        <v>792</v>
      </c>
      <c r="H17" s="20"/>
      <c r="I17" s="262" t="s">
        <v>762</v>
      </c>
      <c r="J17" s="246" t="str">
        <f t="shared" si="16"/>
        <v/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720</v>
      </c>
      <c r="D18" s="260" t="s">
        <v>778</v>
      </c>
      <c r="E18" s="126" t="s">
        <v>743</v>
      </c>
      <c r="F18" s="304" t="s">
        <v>822</v>
      </c>
      <c r="G18" s="20" t="s">
        <v>803</v>
      </c>
      <c r="H18" s="20"/>
      <c r="I18" s="262" t="s">
        <v>759</v>
      </c>
      <c r="J18" s="246" t="str">
        <f t="shared" si="16"/>
        <v/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721</v>
      </c>
      <c r="D19" s="260" t="s">
        <v>779</v>
      </c>
      <c r="E19" s="126" t="s">
        <v>745</v>
      </c>
      <c r="F19" s="261"/>
      <c r="G19" s="20" t="s">
        <v>795</v>
      </c>
      <c r="H19" s="20" t="s">
        <v>804</v>
      </c>
      <c r="I19" s="19" t="s">
        <v>759</v>
      </c>
      <c r="J19" s="246" t="str">
        <f t="shared" si="16"/>
        <v/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722</v>
      </c>
      <c r="D20" s="260" t="s">
        <v>780</v>
      </c>
      <c r="E20" s="126" t="s">
        <v>746</v>
      </c>
      <c r="F20" s="261"/>
      <c r="G20" s="20" t="s">
        <v>805</v>
      </c>
      <c r="H20" s="20"/>
      <c r="I20" s="262" t="s">
        <v>763</v>
      </c>
      <c r="J20" s="246" t="str">
        <f t="shared" si="16"/>
        <v/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723</v>
      </c>
      <c r="D21" s="260" t="s">
        <v>781</v>
      </c>
      <c r="E21" s="126" t="s">
        <v>747</v>
      </c>
      <c r="F21" s="261"/>
      <c r="G21" s="20" t="s">
        <v>806</v>
      </c>
      <c r="H21" s="20"/>
      <c r="I21" s="262" t="s">
        <v>762</v>
      </c>
      <c r="J21" s="246" t="str">
        <f t="shared" si="16"/>
        <v/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 t="s">
        <v>821</v>
      </c>
      <c r="C22" s="62" t="s">
        <v>724</v>
      </c>
      <c r="D22" s="260"/>
      <c r="E22" s="126" t="s">
        <v>748</v>
      </c>
      <c r="F22" s="261"/>
      <c r="G22" s="305"/>
      <c r="H22" s="20" t="s">
        <v>661</v>
      </c>
      <c r="I22" s="19" t="s">
        <v>764</v>
      </c>
      <c r="J22" s="246" t="str">
        <f t="shared" si="16"/>
        <v/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725</v>
      </c>
      <c r="D23" s="260" t="s">
        <v>782</v>
      </c>
      <c r="E23" s="126" t="s">
        <v>749</v>
      </c>
      <c r="F23" s="261" t="s">
        <v>793</v>
      </c>
      <c r="G23" s="20" t="s">
        <v>819</v>
      </c>
      <c r="H23" s="20"/>
      <c r="I23" s="19" t="s">
        <v>765</v>
      </c>
      <c r="J23" s="246" t="str">
        <f t="shared" si="16"/>
        <v/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726</v>
      </c>
      <c r="D24" s="260" t="s">
        <v>783</v>
      </c>
      <c r="E24" s="126" t="s">
        <v>750</v>
      </c>
      <c r="F24" s="261"/>
      <c r="G24" s="20" t="s">
        <v>807</v>
      </c>
      <c r="H24" s="20"/>
      <c r="I24" s="262" t="s">
        <v>737</v>
      </c>
      <c r="J24" s="246" t="str">
        <f t="shared" si="16"/>
        <v/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727</v>
      </c>
      <c r="D25" s="260" t="s">
        <v>784</v>
      </c>
      <c r="E25" s="126" t="s">
        <v>751</v>
      </c>
      <c r="F25" s="261"/>
      <c r="G25" s="305" t="s">
        <v>823</v>
      </c>
      <c r="H25" s="20"/>
      <c r="I25" s="262" t="s">
        <v>762</v>
      </c>
      <c r="J25" s="246" t="str">
        <f t="shared" si="16"/>
        <v/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728</v>
      </c>
      <c r="D26" s="260" t="s">
        <v>785</v>
      </c>
      <c r="E26" s="126" t="s">
        <v>752</v>
      </c>
      <c r="F26" s="261" t="s">
        <v>793</v>
      </c>
      <c r="G26" s="305" t="s">
        <v>824</v>
      </c>
      <c r="H26" s="20"/>
      <c r="I26" s="19" t="s">
        <v>766</v>
      </c>
      <c r="J26" s="246" t="str">
        <f t="shared" si="16"/>
        <v/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729</v>
      </c>
      <c r="D27" s="260" t="s">
        <v>786</v>
      </c>
      <c r="E27" s="126" t="s">
        <v>753</v>
      </c>
      <c r="F27" s="261"/>
      <c r="G27" s="20" t="s">
        <v>808</v>
      </c>
      <c r="H27" s="20"/>
      <c r="I27" s="262" t="s">
        <v>767</v>
      </c>
      <c r="J27" s="246" t="str">
        <f t="shared" si="16"/>
        <v/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 t="s">
        <v>730</v>
      </c>
      <c r="D28" s="260" t="s">
        <v>787</v>
      </c>
      <c r="E28" s="126" t="s">
        <v>754</v>
      </c>
      <c r="F28" s="261"/>
      <c r="G28" s="305" t="s">
        <v>825</v>
      </c>
      <c r="H28" s="20"/>
      <c r="I28" s="262" t="s">
        <v>768</v>
      </c>
      <c r="J28" s="246" t="str">
        <f t="shared" si="16"/>
        <v/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 t="s">
        <v>731</v>
      </c>
      <c r="D29" s="260" t="s">
        <v>788</v>
      </c>
      <c r="E29" s="126" t="s">
        <v>755</v>
      </c>
      <c r="F29" s="261"/>
      <c r="G29" s="305" t="s">
        <v>826</v>
      </c>
      <c r="H29" s="20"/>
      <c r="I29" s="262" t="s">
        <v>766</v>
      </c>
      <c r="J29" s="246" t="str">
        <f t="shared" si="16"/>
        <v/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 t="s">
        <v>732</v>
      </c>
      <c r="D30" s="260" t="s">
        <v>789</v>
      </c>
      <c r="E30" s="126" t="s">
        <v>756</v>
      </c>
      <c r="F30" s="261"/>
      <c r="G30" s="20" t="s">
        <v>809</v>
      </c>
      <c r="H30" s="20"/>
      <c r="I30" s="262" t="s">
        <v>769</v>
      </c>
      <c r="J30" s="246" t="str">
        <f t="shared" si="16"/>
        <v/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 t="s">
        <v>733</v>
      </c>
      <c r="D31" s="260" t="s">
        <v>790</v>
      </c>
      <c r="E31" s="126" t="s">
        <v>749</v>
      </c>
      <c r="F31" s="261" t="s">
        <v>793</v>
      </c>
      <c r="G31" s="20" t="s">
        <v>799</v>
      </c>
      <c r="H31" s="20"/>
      <c r="I31" s="262" t="s">
        <v>765</v>
      </c>
      <c r="J31" s="246" t="str">
        <f t="shared" si="16"/>
        <v/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 t="s">
        <v>734</v>
      </c>
      <c r="D32" s="260" t="s">
        <v>791</v>
      </c>
      <c r="E32" s="126" t="s">
        <v>743</v>
      </c>
      <c r="F32" s="261"/>
      <c r="G32" s="20" t="s">
        <v>810</v>
      </c>
      <c r="H32" s="20"/>
      <c r="I32" s="262" t="s">
        <v>766</v>
      </c>
      <c r="J32" s="246" t="str">
        <f t="shared" si="16"/>
        <v/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 t="s">
        <v>734</v>
      </c>
      <c r="D33" s="260" t="s">
        <v>791</v>
      </c>
      <c r="E33" s="126" t="s">
        <v>743</v>
      </c>
      <c r="F33" s="261"/>
      <c r="G33" s="20" t="s">
        <v>792</v>
      </c>
      <c r="H33" s="305" t="s">
        <v>663</v>
      </c>
      <c r="I33" s="262" t="s">
        <v>766</v>
      </c>
      <c r="J33" s="246" t="str">
        <f t="shared" si="16"/>
        <v/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 t="s">
        <v>734</v>
      </c>
      <c r="D34" s="260" t="s">
        <v>791</v>
      </c>
      <c r="E34" s="126" t="s">
        <v>743</v>
      </c>
      <c r="F34" s="261"/>
      <c r="G34" s="20" t="s">
        <v>792</v>
      </c>
      <c r="H34" s="305" t="s">
        <v>663</v>
      </c>
      <c r="I34" s="262" t="s">
        <v>766</v>
      </c>
      <c r="J34" s="246" t="str">
        <f t="shared" si="16"/>
        <v/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 t="s">
        <v>734</v>
      </c>
      <c r="D35" s="260" t="s">
        <v>791</v>
      </c>
      <c r="E35" s="126" t="s">
        <v>743</v>
      </c>
      <c r="F35" s="261"/>
      <c r="G35" s="20" t="s">
        <v>792</v>
      </c>
      <c r="H35" s="305" t="s">
        <v>663</v>
      </c>
      <c r="I35" s="262" t="s">
        <v>766</v>
      </c>
      <c r="J35" s="246" t="str">
        <f t="shared" si="16"/>
        <v/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 t="s">
        <v>734</v>
      </c>
      <c r="D36" s="260" t="s">
        <v>791</v>
      </c>
      <c r="E36" s="126" t="s">
        <v>737</v>
      </c>
      <c r="F36" s="261"/>
      <c r="G36" s="20" t="s">
        <v>792</v>
      </c>
      <c r="H36" s="305" t="s">
        <v>662</v>
      </c>
      <c r="I36" s="262" t="s">
        <v>766</v>
      </c>
      <c r="J36" s="246" t="str">
        <f t="shared" si="16"/>
        <v/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49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2319A91D-E295-4532-881E-F76A8A4ACFFF}">
      <formula1>"* ,[IP] IP 139,[ASTM] D974,[ASTM] D664"</formula1>
    </dataValidation>
    <dataValidation type="list" allowBlank="1" showInputMessage="1" showErrorMessage="1" sqref="D8" xr:uid="{DE4B33ED-81AA-4A77-A27F-5BB55E021238}">
      <formula1>"* ,[IP] IP 139,[ASTM] D664,[ASTM] D974"</formula1>
    </dataValidation>
    <dataValidation type="list" allowBlank="1" showInputMessage="1" showErrorMessage="1" sqref="D9 D10" xr:uid="{4DB272C3-D987-4663-A858-C105E9DBBE17}">
      <formula1>"* ,[ASTM] D4176 Procedure 2"</formula1>
    </dataValidation>
    <dataValidation type="list" allowBlank="1" showInputMessage="1" showErrorMessage="1" sqref="D11 D12" xr:uid="{98501083-FE74-45DA-B3CA-0A176FAA0F85}">
      <formula1>"* ,[IP] IP 391"</formula1>
    </dataValidation>
    <dataValidation type="list" allowBlank="1" showInputMessage="1" showErrorMessage="1" sqref="D13" xr:uid="{4474B437-6CBC-4D51-978E-BD33AC98C9C5}">
      <formula1>"* ,[IP] IP 4,[ASTM] D482"</formula1>
    </dataValidation>
    <dataValidation type="list" allowBlank="1" showInputMessage="1" showErrorMessage="1" sqref="D14" xr:uid="{35435659-A1B7-4DB0-AF52-EA7E130A71FE}">
      <formula1>"* ,[ASTM] D4530,[ASTM] D189"</formula1>
    </dataValidation>
    <dataValidation type="list" allowBlank="1" showInputMessage="1" showErrorMessage="1" sqref="D15" xr:uid="{81157C4D-DC45-4908-ABCD-1075C38D716C}">
      <formula1>"* ,[ASTM] D4737"</formula1>
    </dataValidation>
    <dataValidation type="list" allowBlank="1" showInputMessage="1" showErrorMessage="1" sqref="D16" xr:uid="{76B46BD1-A1FC-49CA-BD21-E2FC0F65001B}">
      <formula1>"* ,[IP] IP 309"</formula1>
    </dataValidation>
    <dataValidation type="list" allowBlank="1" showInputMessage="1" showErrorMessage="1" sqref="D17" xr:uid="{1278DC11-7608-4714-86A2-FE395B0760DA}">
      <formula1>"* ,[ASTM] D5771,[ASTM] D2500,[ASTM] D5773,[IP] IP 219"</formula1>
    </dataValidation>
    <dataValidation type="list" allowBlank="1" showInputMessage="1" showErrorMessage="1" sqref="D18" xr:uid="{0DF303EF-F23F-41CD-B361-E33B9C3765F4}">
      <formula1>"* ,[IP] IP 196,[ASTM] D6045,[ASTM] D1500"</formula1>
    </dataValidation>
    <dataValidation type="list" allowBlank="1" showInputMessage="1" showErrorMessage="1" sqref="D19" xr:uid="{70241D10-AAD5-4883-BD15-50CA1CC35AF1}">
      <formula1>"* ,[IP] IP 154,[ASTM] D130"</formula1>
    </dataValidation>
    <dataValidation type="list" allowBlank="1" showInputMessage="1" showErrorMessage="1" sqref="D20" xr:uid="{1DF2A4B8-5DC2-4053-A2BD-F5D2B8EF5907}">
      <formula1>"* ,[ASTM] D1298,[ASTM] D4052"</formula1>
    </dataValidation>
    <dataValidation type="list" allowBlank="1" showInputMessage="1" showErrorMessage="1" sqref="D21" xr:uid="{A8BB0930-F995-4512-9336-11DD8240BD3F}">
      <formula1>"* ,[IP] IP 123,[ASTM] D86"</formula1>
    </dataValidation>
    <dataValidation type="list" allowBlank="1" showInputMessage="1" showErrorMessage="1" sqref="D22" xr:uid="{5481384C-3071-42F4-B2AE-24D201F6AECE}">
      <formula1>"* ,[ASTM] D2624"</formula1>
    </dataValidation>
    <dataValidation type="list" allowBlank="1" showInputMessage="1" showErrorMessage="1" sqref="D23" xr:uid="{92438354-A609-430E-9BC2-2F93C32703AE}">
      <formula1>"* ,[EN] EN 14078"</formula1>
    </dataValidation>
    <dataValidation type="list" allowBlank="1" showInputMessage="1" showErrorMessage="1" sqref="D24" xr:uid="{FC72D870-40B8-4803-B41A-7EB4E0C1D504}">
      <formula1>"* ,[IP] IP 387,[ASTM] D2068"</formula1>
    </dataValidation>
    <dataValidation type="list" allowBlank="1" showInputMessage="1" showErrorMessage="1" sqref="D25" xr:uid="{00139494-44A0-4304-AEF1-C33193879554}">
      <formula1>"* ,[ASTM] D93"</formula1>
    </dataValidation>
    <dataValidation type="list" allowBlank="1" showInputMessage="1" showErrorMessage="1" sqref="D26" xr:uid="{8AF2696F-E9A2-4FA9-A680-D94CDDCF6C4E}">
      <formula1>"* ,[IP] IP 570 - Procedure A"</formula1>
    </dataValidation>
    <dataValidation type="list" allowBlank="1" showInputMessage="1" showErrorMessage="1" sqref="D27" xr:uid="{A4D7CC69-8AA4-47CF-9944-D3C271BA8733}">
      <formula1>"* ,[IP] IP 450"</formula1>
    </dataValidation>
    <dataValidation type="list" allowBlank="1" showInputMessage="1" showErrorMessage="1" sqref="D28" xr:uid="{61523E88-8431-4AFE-9C68-8DD323902E58}">
      <formula1>"* ,[ASTM] D2274"</formula1>
    </dataValidation>
    <dataValidation type="list" allowBlank="1" showInputMessage="1" showErrorMessage="1" sqref="D29" xr:uid="{6C0A9688-E5F7-4298-A141-140D1583DD93}">
      <formula1>"* ,[ASTM] D5453,[ASTM] D2622"</formula1>
    </dataValidation>
    <dataValidation type="list" allowBlank="1" showInputMessage="1" showErrorMessage="1" sqref="D30" xr:uid="{F85C9768-C44D-4F36-8536-15303FACECC7}">
      <formula1>"* ,[IP] IP 71 Section 1,[ASTM] D445"</formula1>
    </dataValidation>
    <dataValidation type="list" allowBlank="1" showInputMessage="1" showErrorMessage="1" sqref="D31" xr:uid="{0BF05F82-E3A3-4542-8220-499665723CF3}">
      <formula1>"* ,[ASTM] D2709"</formula1>
    </dataValidation>
    <dataValidation type="list" allowBlank="1" showInputMessage="1" showErrorMessage="1" sqref="D32 D33 D34 D35 D36" xr:uid="{6F7452B9-5694-4056-93CC-00E8D26E3CB1}">
      <formula1>"* ,[OTHER] Additives (declaration)"</formula1>
    </dataValidation>
    <dataValidation type="list" allowBlank="1" showInputMessage="1" showErrorMessage="1" sqref="I7 I8" xr:uid="{2A3FF2CB-B2C2-4024-BC0B-33EB8E20A882}">
      <formula1>"mg KOH/g,mg NaOH/100ml,mg NaOH/g,mg/kg,mg/l"</formula1>
    </dataValidation>
    <dataValidation type="list" allowBlank="1" showInputMessage="1" showErrorMessage="1" sqref="I9" xr:uid="{A2D95321-EEF8-4ED5-BD2E-3FE7447D6DEB}">
      <formula1>"haze no,n/a,pass/fail,rating,visual"</formula1>
    </dataValidation>
    <dataValidation type="list" allowBlank="1" showInputMessage="1" showErrorMessage="1" sqref="I10 I19" xr:uid="{CEB83A43-DC42-433A-BE65-DE7286E11573}">
      <formula1>"rating"</formula1>
    </dataValidation>
    <dataValidation type="list" allowBlank="1" showInputMessage="1" showErrorMessage="1" sqref="I11 I12" xr:uid="{C86B948E-FB49-4CE9-946A-70DEDC53EF42}">
      <formula1>"ppm,%liq vol,%m/m,%mole,%wt,%vol"</formula1>
    </dataValidation>
    <dataValidation type="list" allowBlank="1" showInputMessage="1" showErrorMessage="1" sqref="I13" xr:uid="{7631B088-DD88-4977-A7F3-98AD31397A1C}">
      <formula1>"ppm w/w,%m,%m/m,%wt"</formula1>
    </dataValidation>
    <dataValidation type="list" allowBlank="1" showInputMessage="1" showErrorMessage="1" sqref="I14" xr:uid="{626AF412-190C-4452-93A3-2BDB58CBE409}">
      <formula1>"LT,MT (Vac),%m/m,%wt"</formula1>
    </dataValidation>
    <dataValidation type="list" allowBlank="1" showInputMessage="1" showErrorMessage="1" sqref="I15" xr:uid="{6BF8150E-D752-4D8B-97AC-F8F37233CD5B}">
      <formula1>"calc,rating"</formula1>
    </dataValidation>
    <dataValidation type="list" allowBlank="1" showInputMessage="1" showErrorMessage="1" sqref="I16 I17 I25" xr:uid="{2AD2B098-CD54-4127-8329-48C088D31AE9}">
      <formula1>"°C,°F"</formula1>
    </dataValidation>
    <dataValidation type="list" allowBlank="1" showInputMessage="1" showErrorMessage="1" sqref="I18" xr:uid="{6E2E3DF3-53E2-4DF6-A381-CE9EFCD758BD}">
      <formula1>"haze no,pass/fail,rating,visual"</formula1>
    </dataValidation>
    <dataValidation type="list" allowBlank="1" showInputMessage="1" showErrorMessage="1" sqref="I20" xr:uid="{DBDD08FE-4C3D-43DA-8DF5-4C4C835E5D50}">
      <formula1>"g/ cc,g/l,g/cm³,g/ml,kg/m³,kg/l,n/a,tonne/m³"</formula1>
    </dataValidation>
    <dataValidation type="list" allowBlank="1" showInputMessage="1" showErrorMessage="1" sqref="I21" xr:uid="{7FB50D15-D304-4F95-BD83-AA350AF4C190}">
      <formula1>"°C,°F,%,%vol"</formula1>
    </dataValidation>
    <dataValidation type="list" allowBlank="1" showInputMessage="1" showErrorMessage="1" sqref="I22" xr:uid="{ED2D1CE2-73EA-40A3-A86B-3D4390145EEB}">
      <formula1>"pS/m"</formula1>
    </dataValidation>
    <dataValidation type="list" allowBlank="1" showInputMessage="1" showErrorMessage="1" sqref="I23" xr:uid="{74027CF2-E106-446B-8CE0-5139688E43E6}">
      <formula1>"%vol"</formula1>
    </dataValidation>
    <dataValidation type="list" allowBlank="1" showInputMessage="1" showErrorMessage="1" sqref="I24" xr:uid="{DB126BA5-E775-48F8-8921-DAE1C7910EFD}">
      <formula1>"°C,°F,kPa,ml,n/a"</formula1>
    </dataValidation>
    <dataValidation type="list" allowBlank="1" showInputMessage="1" showErrorMessage="1" sqref="I26" xr:uid="{9F420F8A-C055-4710-8781-DCFD03346F20}">
      <formula1>"mg/kg"</formula1>
    </dataValidation>
    <dataValidation type="list" allowBlank="1" showInputMessage="1" showErrorMessage="1" sqref="I27" xr:uid="{81D2C928-59E5-4235-993D-9D4464968B04}">
      <formula1>"°C,μm,mm"</formula1>
    </dataValidation>
    <dataValidation type="list" allowBlank="1" showInputMessage="1" showErrorMessage="1" sqref="I28" xr:uid="{96B8962B-4EF1-43CF-A72F-41EC8432FA55}">
      <formula1>"g/cm³,g/m³,hrs,kg/m³,mg/100ml,mg/l,mins,rating"</formula1>
    </dataValidation>
    <dataValidation type="list" allowBlank="1" showInputMessage="1" showErrorMessage="1" sqref="I29" xr:uid="{3D26F9C4-7027-45D5-8399-E388EBC42BB0}">
      <formula1>"μg/g,mg/kg,mg/l,ppm,%m,%m/m,%wt"</formula1>
    </dataValidation>
    <dataValidation type="list" allowBlank="1" showInputMessage="1" showErrorMessage="1" sqref="I30" xr:uid="{6C06BF59-40B7-4650-A03C-1707D1AD3930}">
      <formula1>"cSt,Engler,mm²/s,Pa·s,SUS"</formula1>
    </dataValidation>
    <dataValidation type="list" allowBlank="1" showInputMessage="1" showErrorMessage="1" sqref="I31" xr:uid="{A1E452E8-ADB1-4956-B00D-45822356F69E}">
      <formula1>"%wt,%vol"</formula1>
    </dataValidation>
    <dataValidation type="list" allowBlank="1" showInputMessage="1" showErrorMessage="1" sqref="I32 I33 I34 I35 I36" xr:uid="{9AE41893-BF28-4185-90E4-0C3A888AC03D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0CAD59BF-8272-4212-9456-535AE3FDE4E6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 activeCell="G10" sqref="G10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311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 t="s">
        <v>817</v>
      </c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712</v>
      </c>
      <c r="D7" s="260"/>
      <c r="E7" s="126" t="s">
        <v>737</v>
      </c>
      <c r="F7" s="263"/>
      <c r="G7" s="20"/>
      <c r="H7" s="20"/>
      <c r="I7" s="262" t="s">
        <v>758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713</v>
      </c>
      <c r="D8" s="260"/>
      <c r="E8" s="126" t="s">
        <v>737</v>
      </c>
      <c r="F8" s="263"/>
      <c r="G8" s="20"/>
      <c r="H8" s="20"/>
      <c r="I8" s="19" t="s">
        <v>759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 t="s">
        <v>720</v>
      </c>
      <c r="D9" s="260"/>
      <c r="E9" s="126" t="s">
        <v>743</v>
      </c>
      <c r="F9" s="261"/>
      <c r="G9" s="20"/>
      <c r="H9" s="20"/>
      <c r="I9" s="262" t="s">
        <v>759</v>
      </c>
      <c r="J9" s="246" t="str">
        <f t="shared" si="16"/>
        <v>*</v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 t="s">
        <v>722</v>
      </c>
      <c r="D10" s="260"/>
      <c r="E10" s="126" t="s">
        <v>746</v>
      </c>
      <c r="F10" s="261"/>
      <c r="G10" s="20"/>
      <c r="H10" s="20"/>
      <c r="I10" s="262" t="s">
        <v>763</v>
      </c>
      <c r="J10" s="246" t="str">
        <f t="shared" si="16"/>
        <v>*</v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 t="s">
        <v>727</v>
      </c>
      <c r="D11" s="260"/>
      <c r="E11" s="126" t="s">
        <v>751</v>
      </c>
      <c r="F11" s="261"/>
      <c r="G11" s="20"/>
      <c r="H11" s="20"/>
      <c r="I11" s="262" t="s">
        <v>762</v>
      </c>
      <c r="J11" s="246" t="str">
        <f t="shared" si="16"/>
        <v>*</v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 t="s">
        <v>726</v>
      </c>
      <c r="D12" s="260"/>
      <c r="E12" s="126" t="s">
        <v>750</v>
      </c>
      <c r="F12" s="261"/>
      <c r="G12" s="20"/>
      <c r="H12" s="20"/>
      <c r="I12" s="262" t="s">
        <v>737</v>
      </c>
      <c r="J12" s="246" t="str">
        <f t="shared" si="16"/>
        <v>*</v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15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  <dataValidation type="list" allowBlank="1" showInputMessage="1" showErrorMessage="1" sqref="D7 D8" xr:uid="{57BA3B48-AD15-41AB-A40A-1B75EC879C32}">
      <formula1>"* ,[ASTM] D4176 Procedure 2"</formula1>
    </dataValidation>
    <dataValidation type="list" allowBlank="1" showInputMessage="1" showErrorMessage="1" sqref="D9" xr:uid="{5E143E82-202E-4F94-9048-C5D1BE4EAEE7}">
      <formula1>"* ,[ASTM] D1500,[ASTM] D6045,[IP] IP 196"</formula1>
    </dataValidation>
    <dataValidation type="list" allowBlank="1" showInputMessage="1" showErrorMessage="1" sqref="D10" xr:uid="{BC9DD1D9-57BE-46D8-A090-84A0A653A5D8}">
      <formula1>"* ,[ASTM] D4052,[ASTM] D1298"</formula1>
    </dataValidation>
    <dataValidation type="list" allowBlank="1" showInputMessage="1" showErrorMessage="1" sqref="D11" xr:uid="{36232E0E-2F3C-4851-AB42-0D348C6410CF}">
      <formula1>"* ,[ASTM] D93"</formula1>
    </dataValidation>
    <dataValidation type="list" allowBlank="1" showInputMessage="1" showErrorMessage="1" sqref="D12" xr:uid="{1B6CDBE3-9459-47FE-BB90-E5C39C3F864B}">
      <formula1>"* ,[IP] IP 387,[ASTM] D2068"</formula1>
    </dataValidation>
    <dataValidation type="list" allowBlank="1" showInputMessage="1" showErrorMessage="1" sqref="I7" xr:uid="{401F277F-3248-4A1D-9629-773BA395542A}">
      <formula1>"haze no,n/a,pass/fail,rating,visual"</formula1>
    </dataValidation>
    <dataValidation type="list" allowBlank="1" showInputMessage="1" showErrorMessage="1" sqref="I8" xr:uid="{9EDD31B5-729E-4EBD-85D3-9AE3F0B66D32}">
      <formula1>"rating"</formula1>
    </dataValidation>
    <dataValidation type="list" allowBlank="1" showInputMessage="1" showErrorMessage="1" sqref="I9" xr:uid="{404C77E8-3390-463D-A8F9-28FD7FE216EB}">
      <formula1>"haze no,pass/fail,rating,visual"</formula1>
    </dataValidation>
    <dataValidation type="list" allowBlank="1" showInputMessage="1" showErrorMessage="1" sqref="I10" xr:uid="{1157A42D-E2F0-468D-9F56-634B86FA7AFE}">
      <formula1>"g/cm³,g/ml,kg/m³,kg/l,n/a,tonne/m³,g/l,g/ cc"</formula1>
    </dataValidation>
    <dataValidation type="list" allowBlank="1" showInputMessage="1" showErrorMessage="1" sqref="I11" xr:uid="{0E5F3A1C-142C-488C-A016-DB2C9B0EF702}">
      <formula1>"°C,°F"</formula1>
    </dataValidation>
    <dataValidation type="list" allowBlank="1" showInputMessage="1" showErrorMessage="1" sqref="I12" xr:uid="{4EE033D8-4D59-48E2-A906-332776630229}">
      <formula1>"°C,°F,kPa,ml,n/a"</formula1>
    </dataValidation>
    <dataValidation type="list" allowBlank="1" showInputMessage="1" showErrorMessage="1" sqref="F9 F10 F11 F12" xr:uid="{062BB572-EC1D-406D-8543-C4205292E69E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651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641</v>
      </c>
      <c r="J5" s="255" t="s">
        <v>695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694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7.399999999999999"/>
  <cols>
    <col min="2" max="2" width="11.09765625" bestFit="1" customWidth="1"/>
    <col min="10" max="10" width="30.1992187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374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374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374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374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374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374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374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374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374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374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374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374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374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374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374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374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374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374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374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374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374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374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374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374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374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374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374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374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374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374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374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374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374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374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374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374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374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374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374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374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374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374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374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374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374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374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375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375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375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375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375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375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375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375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375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375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375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375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375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375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375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375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375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375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375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375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375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377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377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377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377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377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377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377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377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377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377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377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377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377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376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376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376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376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376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399</v>
      </c>
      <c r="B86" s="154">
        <f ca="1">TODAY()</f>
        <v>45243</v>
      </c>
      <c r="I86" t="s">
        <v>259</v>
      </c>
      <c r="J86" t="s">
        <v>260</v>
      </c>
      <c r="K86" t="s">
        <v>259</v>
      </c>
      <c r="L86" s="150" t="s">
        <v>394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685</v>
      </c>
      <c r="J87" s="146" t="s">
        <v>689</v>
      </c>
      <c r="K87" t="s">
        <v>685</v>
      </c>
      <c r="L87" s="146" t="s">
        <v>689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686</v>
      </c>
      <c r="J88" s="146" t="s">
        <v>690</v>
      </c>
      <c r="K88" t="s">
        <v>686</v>
      </c>
      <c r="L88" s="146" t="s">
        <v>690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687</v>
      </c>
      <c r="J89" s="146" t="s">
        <v>691</v>
      </c>
      <c r="K89" t="s">
        <v>687</v>
      </c>
      <c r="L89" s="146" t="s">
        <v>691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688</v>
      </c>
      <c r="J90" s="146" t="s">
        <v>691</v>
      </c>
      <c r="K90" t="s">
        <v>688</v>
      </c>
      <c r="L90" s="146" t="s">
        <v>691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692</v>
      </c>
      <c r="J91" s="146" t="s">
        <v>693</v>
      </c>
      <c r="K91" t="s">
        <v>692</v>
      </c>
      <c r="L91" s="146" t="s">
        <v>693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583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584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585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586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587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588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589</v>
      </c>
      <c r="I107" s="152" t="s">
        <v>411</v>
      </c>
      <c r="J107" s="152" t="s">
        <v>400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590</v>
      </c>
      <c r="I108" s="152" t="s">
        <v>412</v>
      </c>
      <c r="J108" s="152" t="s">
        <v>401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591</v>
      </c>
      <c r="I109" s="152" t="s">
        <v>413</v>
      </c>
      <c r="J109" t="s">
        <v>402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592</v>
      </c>
      <c r="I110" s="152" t="s">
        <v>414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593</v>
      </c>
      <c r="I111" s="152" t="s">
        <v>415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594</v>
      </c>
      <c r="I112" s="152" t="s">
        <v>416</v>
      </c>
      <c r="J112" t="s">
        <v>403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595</v>
      </c>
      <c r="I113" s="152" t="s">
        <v>417</v>
      </c>
      <c r="J113" t="s">
        <v>405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596</v>
      </c>
      <c r="I114" s="152" t="s">
        <v>418</v>
      </c>
      <c r="J114" t="s">
        <v>404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597</v>
      </c>
      <c r="I115" s="152" t="s">
        <v>419</v>
      </c>
      <c r="J115" s="152" t="s">
        <v>351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598</v>
      </c>
      <c r="I116" s="152" t="s">
        <v>420</v>
      </c>
      <c r="J116" s="152" t="s">
        <v>352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599</v>
      </c>
      <c r="J117" s="152" t="s">
        <v>353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600</v>
      </c>
      <c r="I118" s="152" t="s">
        <v>411</v>
      </c>
      <c r="J118" s="152" t="s">
        <v>354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601</v>
      </c>
      <c r="I119" s="152" t="s">
        <v>412</v>
      </c>
      <c r="J119" s="152" t="s">
        <v>355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602</v>
      </c>
      <c r="I120" s="152" t="s">
        <v>413</v>
      </c>
      <c r="J120" s="152" t="s">
        <v>356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603</v>
      </c>
      <c r="I121" s="152" t="s">
        <v>414</v>
      </c>
      <c r="J121" s="152" t="s">
        <v>357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604</v>
      </c>
      <c r="I122" s="152" t="s">
        <v>415</v>
      </c>
      <c r="J122" s="152" t="s">
        <v>358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605</v>
      </c>
      <c r="I123" s="152" t="s">
        <v>416</v>
      </c>
      <c r="J123" s="152" t="s">
        <v>359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606</v>
      </c>
      <c r="I124" s="152" t="s">
        <v>417</v>
      </c>
      <c r="J124" s="152" t="s">
        <v>360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607</v>
      </c>
      <c r="I125" s="152" t="s">
        <v>418</v>
      </c>
      <c r="J125" s="152" t="s">
        <v>361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608</v>
      </c>
      <c r="I126" s="152" t="s">
        <v>419</v>
      </c>
      <c r="J126" s="152" t="s">
        <v>362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609</v>
      </c>
      <c r="I127" s="152" t="s">
        <v>420</v>
      </c>
      <c r="J127" s="152" t="s">
        <v>363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610</v>
      </c>
      <c r="J128" s="152" t="s">
        <v>364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611</v>
      </c>
      <c r="J129" s="152" t="s">
        <v>365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612</v>
      </c>
      <c r="J130" s="152" t="s">
        <v>366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613</v>
      </c>
      <c r="J131" s="152" t="s">
        <v>367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614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615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616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617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618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619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620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621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622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623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624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625</v>
      </c>
      <c r="J143" t="s">
        <v>369</v>
      </c>
      <c r="K143" s="146" t="s">
        <v>374</v>
      </c>
      <c r="L143" t="s">
        <v>378</v>
      </c>
      <c r="M143" t="s">
        <v>385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626</v>
      </c>
      <c r="J144" t="s">
        <v>370</v>
      </c>
      <c r="K144" s="146" t="s">
        <v>375</v>
      </c>
      <c r="L144" t="s">
        <v>379</v>
      </c>
      <c r="M144" t="s">
        <v>386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627</v>
      </c>
      <c r="J145" t="s">
        <v>371</v>
      </c>
      <c r="K145" s="146" t="s">
        <v>377</v>
      </c>
      <c r="L145" t="s">
        <v>380</v>
      </c>
      <c r="M145" t="s">
        <v>387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628</v>
      </c>
      <c r="J146" t="s">
        <v>372</v>
      </c>
      <c r="K146" s="146" t="s">
        <v>377</v>
      </c>
      <c r="L146" t="s">
        <v>381</v>
      </c>
      <c r="M146" t="s">
        <v>388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629</v>
      </c>
      <c r="J147" t="s">
        <v>373</v>
      </c>
      <c r="K147" s="146" t="s">
        <v>376</v>
      </c>
      <c r="L147" t="s">
        <v>382</v>
      </c>
      <c r="M147" t="s">
        <v>389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630</v>
      </c>
      <c r="J148" t="s">
        <v>259</v>
      </c>
      <c r="K148" s="146" t="s">
        <v>260</v>
      </c>
      <c r="L148" t="s">
        <v>383</v>
      </c>
      <c r="M148" t="s">
        <v>390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631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632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633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634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635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636</v>
      </c>
      <c r="J154" t="s">
        <v>660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637</v>
      </c>
      <c r="J155" t="s">
        <v>666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638</v>
      </c>
      <c r="J156" t="s">
        <v>652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639</v>
      </c>
      <c r="J157" t="s">
        <v>653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640</v>
      </c>
      <c r="J158" t="s">
        <v>654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421</v>
      </c>
      <c r="J159" t="s">
        <v>655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422</v>
      </c>
      <c r="J160" t="s">
        <v>656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423</v>
      </c>
      <c r="J161" t="s">
        <v>657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424</v>
      </c>
      <c r="J162" t="s">
        <v>658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425</v>
      </c>
      <c r="J163" t="s">
        <v>659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426</v>
      </c>
      <c r="J164" t="s">
        <v>661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427</v>
      </c>
      <c r="J165" t="s">
        <v>662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428</v>
      </c>
      <c r="J166" t="s">
        <v>663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429</v>
      </c>
      <c r="J167" t="s">
        <v>664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430</v>
      </c>
      <c r="J168" t="s">
        <v>665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431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432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433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434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435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436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437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438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439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440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441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442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443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444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445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446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447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448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449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450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451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452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453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454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455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456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457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458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459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460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461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462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463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464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465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466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467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468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469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470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471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472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473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474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475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476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477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478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479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480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481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482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483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484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485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486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487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488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489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490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491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492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493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494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495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496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497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498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499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500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501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502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503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504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505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506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507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508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509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510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511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512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513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514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515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516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517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518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519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520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521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522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523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524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525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526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527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528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529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530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531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532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523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524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525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526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527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528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529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530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531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532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533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534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535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536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537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538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539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540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541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542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543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544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545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546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547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548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549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550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551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552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553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554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555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556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557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558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559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560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561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562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563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564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565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566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567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568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569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570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571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572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573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574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575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576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577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578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579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580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581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582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541020</xdr:colOff>
                    <xdr:row>89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Kim, HyunJin (Ulsan)</cp:lastModifiedBy>
  <cp:lastPrinted>2023-08-21T01:31:29Z</cp:lastPrinted>
  <dcterms:created xsi:type="dcterms:W3CDTF">2022-11-23T02:24:26Z</dcterms:created>
  <dcterms:modified xsi:type="dcterms:W3CDTF">2023-11-12T23:59:22Z</dcterms:modified>
</cp:coreProperties>
</file>