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yunjin_kim\Desktop\임시 보관\NAVARIK ERROR\새 폴더\20231109_Chevron (23C767581-01) IKIGAI_GASOIL 10PPM_213KB_YOSU (Y)\"/>
    </mc:Choice>
  </mc:AlternateContent>
  <xr:revisionPtr revIDLastSave="0" documentId="13_ncr:1_{E9D98E62-46C6-4206-AE03-306D7A51606D}" xr6:coauthVersionLast="47" xr6:coauthVersionMax="47" xr10:uidLastSave="{00000000-0000-0000-0000-000000000000}"/>
  <bookViews>
    <workbookView xWindow="28680" yWindow="-120" windowWidth="29040" windowHeight="15840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5" r:id="rId5"/>
    <sheet name="SET 3" sheetId="156" r:id="rId6"/>
    <sheet name="SET 4" sheetId="157" r:id="rId7"/>
    <sheet name="SET 5" sheetId="158" r:id="rId8"/>
    <sheet name="SET 6" sheetId="159" r:id="rId9"/>
    <sheet name="SET 7" sheetId="160" r:id="rId10"/>
    <sheet name="SET 8" sheetId="161" r:id="rId11"/>
    <sheet name="SET 9" sheetId="162" r:id="rId12"/>
    <sheet name="SET 10" sheetId="16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63" l="1"/>
  <c r="BS82" i="163"/>
  <c r="BO82" i="163"/>
  <c r="BK82" i="163"/>
  <c r="BG82" i="163"/>
  <c r="BC82" i="163"/>
  <c r="AY82" i="163"/>
  <c r="AU82" i="163"/>
  <c r="AQ82" i="163"/>
  <c r="AM82" i="163"/>
  <c r="AI82" i="163"/>
  <c r="AE82" i="163"/>
  <c r="AA82" i="163"/>
  <c r="W82" i="163"/>
  <c r="S82" i="163"/>
  <c r="O82" i="163"/>
  <c r="J82" i="163"/>
  <c r="BW81" i="163"/>
  <c r="BS81" i="163"/>
  <c r="BO81" i="163"/>
  <c r="BK81" i="163"/>
  <c r="BG81" i="163"/>
  <c r="BC81" i="163"/>
  <c r="AY81" i="163"/>
  <c r="AU81" i="163"/>
  <c r="AQ81" i="163"/>
  <c r="AM81" i="163"/>
  <c r="AI81" i="163"/>
  <c r="AE81" i="163"/>
  <c r="AA81" i="163"/>
  <c r="W81" i="163"/>
  <c r="S81" i="163"/>
  <c r="O81" i="163"/>
  <c r="J81" i="163"/>
  <c r="BW80" i="163"/>
  <c r="BS80" i="163"/>
  <c r="BO80" i="163"/>
  <c r="BK80" i="163"/>
  <c r="BG80" i="163"/>
  <c r="BC80" i="163"/>
  <c r="AY80" i="163"/>
  <c r="AU80" i="163"/>
  <c r="AQ80" i="163"/>
  <c r="AM80" i="163"/>
  <c r="AI80" i="163"/>
  <c r="AE80" i="163"/>
  <c r="AA80" i="163"/>
  <c r="W80" i="163"/>
  <c r="S80" i="163"/>
  <c r="O80" i="163"/>
  <c r="J80" i="163"/>
  <c r="BW79" i="163"/>
  <c r="BS79" i="163"/>
  <c r="BO79" i="163"/>
  <c r="BK79" i="163"/>
  <c r="BG79" i="163"/>
  <c r="BC79" i="163"/>
  <c r="AY79" i="163"/>
  <c r="AU79" i="163"/>
  <c r="AQ79" i="163"/>
  <c r="AM79" i="163"/>
  <c r="AI79" i="163"/>
  <c r="AE79" i="163"/>
  <c r="AA79" i="163"/>
  <c r="W79" i="163"/>
  <c r="S79" i="163"/>
  <c r="O79" i="163"/>
  <c r="J79" i="163"/>
  <c r="BW78" i="163"/>
  <c r="BS78" i="163"/>
  <c r="BO78" i="163"/>
  <c r="BK78" i="163"/>
  <c r="BG78" i="163"/>
  <c r="BC78" i="163"/>
  <c r="AY78" i="163"/>
  <c r="AU78" i="163"/>
  <c r="AQ78" i="163"/>
  <c r="AM78" i="163"/>
  <c r="AI78" i="163"/>
  <c r="AE78" i="163"/>
  <c r="AA78" i="163"/>
  <c r="W78" i="163"/>
  <c r="S78" i="163"/>
  <c r="O78" i="163"/>
  <c r="J78" i="163"/>
  <c r="BW77" i="163"/>
  <c r="BS77" i="163"/>
  <c r="BO77" i="163"/>
  <c r="BK77" i="163"/>
  <c r="BG77" i="163"/>
  <c r="BC77" i="163"/>
  <c r="AY77" i="163"/>
  <c r="AU77" i="163"/>
  <c r="AQ77" i="163"/>
  <c r="AM77" i="163"/>
  <c r="AI77" i="163"/>
  <c r="AE77" i="163"/>
  <c r="AA77" i="163"/>
  <c r="W77" i="163"/>
  <c r="S77" i="163"/>
  <c r="O77" i="163"/>
  <c r="J77" i="163"/>
  <c r="BW76" i="163"/>
  <c r="BS76" i="163"/>
  <c r="BO76" i="163"/>
  <c r="BK76" i="163"/>
  <c r="BG76" i="163"/>
  <c r="BC76" i="163"/>
  <c r="AY76" i="163"/>
  <c r="AU76" i="163"/>
  <c r="AQ76" i="163"/>
  <c r="AM76" i="163"/>
  <c r="AI76" i="163"/>
  <c r="AE76" i="163"/>
  <c r="AA76" i="163"/>
  <c r="W76" i="163"/>
  <c r="S76" i="163"/>
  <c r="O76" i="163"/>
  <c r="J76" i="163"/>
  <c r="BW75" i="163"/>
  <c r="BS75" i="163"/>
  <c r="BO75" i="163"/>
  <c r="BK75" i="163"/>
  <c r="BG75" i="163"/>
  <c r="BC75" i="163"/>
  <c r="AY75" i="163"/>
  <c r="AU75" i="163"/>
  <c r="AQ75" i="163"/>
  <c r="AM75" i="163"/>
  <c r="AI75" i="163"/>
  <c r="AE75" i="163"/>
  <c r="AA75" i="163"/>
  <c r="W75" i="163"/>
  <c r="S75" i="163"/>
  <c r="O75" i="163"/>
  <c r="J75" i="163"/>
  <c r="BW74" i="163"/>
  <c r="BS74" i="163"/>
  <c r="BO74" i="163"/>
  <c r="BK74" i="163"/>
  <c r="BG74" i="163"/>
  <c r="BC74" i="163"/>
  <c r="AY74" i="163"/>
  <c r="AU74" i="163"/>
  <c r="AQ74" i="163"/>
  <c r="AM74" i="163"/>
  <c r="AI74" i="163"/>
  <c r="AE74" i="163"/>
  <c r="AA74" i="163"/>
  <c r="W74" i="163"/>
  <c r="S74" i="163"/>
  <c r="O74" i="163"/>
  <c r="J74" i="163"/>
  <c r="BW73" i="163"/>
  <c r="BS73" i="163"/>
  <c r="BO73" i="163"/>
  <c r="BK73" i="163"/>
  <c r="BG73" i="163"/>
  <c r="BC73" i="163"/>
  <c r="AY73" i="163"/>
  <c r="AU73" i="163"/>
  <c r="AQ73" i="163"/>
  <c r="AM73" i="163"/>
  <c r="AI73" i="163"/>
  <c r="AE73" i="163"/>
  <c r="AA73" i="163"/>
  <c r="W73" i="163"/>
  <c r="S73" i="163"/>
  <c r="O73" i="163"/>
  <c r="J73" i="163"/>
  <c r="BW72" i="163"/>
  <c r="BS72" i="163"/>
  <c r="BO72" i="163"/>
  <c r="BK72" i="163"/>
  <c r="BG72" i="163"/>
  <c r="BC72" i="163"/>
  <c r="AY72" i="163"/>
  <c r="AU72" i="163"/>
  <c r="AQ72" i="163"/>
  <c r="AM72" i="163"/>
  <c r="AI72" i="163"/>
  <c r="AE72" i="163"/>
  <c r="AA72" i="163"/>
  <c r="W72" i="163"/>
  <c r="S72" i="163"/>
  <c r="O72" i="163"/>
  <c r="J72" i="163"/>
  <c r="BW71" i="163"/>
  <c r="BS71" i="163"/>
  <c r="BO71" i="163"/>
  <c r="BK71" i="163"/>
  <c r="BG71" i="163"/>
  <c r="BC71" i="163"/>
  <c r="AY71" i="163"/>
  <c r="AU71" i="163"/>
  <c r="AQ71" i="163"/>
  <c r="AM71" i="163"/>
  <c r="AI71" i="163"/>
  <c r="AE71" i="163"/>
  <c r="AA71" i="163"/>
  <c r="W71" i="163"/>
  <c r="S71" i="163"/>
  <c r="O71" i="163"/>
  <c r="J71" i="163"/>
  <c r="BW70" i="163"/>
  <c r="BS70" i="163"/>
  <c r="BO70" i="163"/>
  <c r="BK70" i="163"/>
  <c r="BG70" i="163"/>
  <c r="BC70" i="163"/>
  <c r="AY70" i="163"/>
  <c r="AU70" i="163"/>
  <c r="AQ70" i="163"/>
  <c r="AM70" i="163"/>
  <c r="AI70" i="163"/>
  <c r="AE70" i="163"/>
  <c r="AA70" i="163"/>
  <c r="W70" i="163"/>
  <c r="S70" i="163"/>
  <c r="O70" i="163"/>
  <c r="J70" i="163"/>
  <c r="BW69" i="163"/>
  <c r="BS69" i="163"/>
  <c r="BO69" i="163"/>
  <c r="BK69" i="163"/>
  <c r="BG69" i="163"/>
  <c r="BC69" i="163"/>
  <c r="AY69" i="163"/>
  <c r="AU69" i="163"/>
  <c r="AQ69" i="163"/>
  <c r="AM69" i="163"/>
  <c r="AI69" i="163"/>
  <c r="AE69" i="163"/>
  <c r="AA69" i="163"/>
  <c r="W69" i="163"/>
  <c r="S69" i="163"/>
  <c r="O69" i="163"/>
  <c r="J69" i="163"/>
  <c r="BW68" i="163"/>
  <c r="BS68" i="163"/>
  <c r="BO68" i="163"/>
  <c r="BK68" i="163"/>
  <c r="BG68" i="163"/>
  <c r="BC68" i="163"/>
  <c r="AY68" i="163"/>
  <c r="AU68" i="163"/>
  <c r="AQ68" i="163"/>
  <c r="AM68" i="163"/>
  <c r="AI68" i="163"/>
  <c r="AE68" i="163"/>
  <c r="AA68" i="163"/>
  <c r="W68" i="163"/>
  <c r="S68" i="163"/>
  <c r="O68" i="163"/>
  <c r="J68" i="163"/>
  <c r="BW67" i="163"/>
  <c r="BS67" i="163"/>
  <c r="BO67" i="163"/>
  <c r="BK67" i="163"/>
  <c r="BG67" i="163"/>
  <c r="BC67" i="163"/>
  <c r="AY67" i="163"/>
  <c r="AU67" i="163"/>
  <c r="AQ67" i="163"/>
  <c r="AM67" i="163"/>
  <c r="AI67" i="163"/>
  <c r="AE67" i="163"/>
  <c r="AA67" i="163"/>
  <c r="W67" i="163"/>
  <c r="S67" i="163"/>
  <c r="O67" i="163"/>
  <c r="J67" i="163"/>
  <c r="BW66" i="163"/>
  <c r="BS66" i="163"/>
  <c r="BO66" i="163"/>
  <c r="BK66" i="163"/>
  <c r="BG66" i="163"/>
  <c r="BC66" i="163"/>
  <c r="AY66" i="163"/>
  <c r="AU66" i="163"/>
  <c r="AQ66" i="163"/>
  <c r="AM66" i="163"/>
  <c r="AI66" i="163"/>
  <c r="AE66" i="163"/>
  <c r="AA66" i="163"/>
  <c r="W66" i="163"/>
  <c r="S66" i="163"/>
  <c r="O66" i="163"/>
  <c r="J66" i="163"/>
  <c r="BW65" i="163"/>
  <c r="BS65" i="163"/>
  <c r="BO65" i="163"/>
  <c r="BK65" i="163"/>
  <c r="BG65" i="163"/>
  <c r="BC65" i="163"/>
  <c r="AY65" i="163"/>
  <c r="AU65" i="163"/>
  <c r="AQ65" i="163"/>
  <c r="AM65" i="163"/>
  <c r="AI65" i="163"/>
  <c r="AE65" i="163"/>
  <c r="AA65" i="163"/>
  <c r="W65" i="163"/>
  <c r="S65" i="163"/>
  <c r="O65" i="163"/>
  <c r="J65" i="163"/>
  <c r="BW64" i="163"/>
  <c r="BS64" i="163"/>
  <c r="BO64" i="163"/>
  <c r="BK64" i="163"/>
  <c r="BG64" i="163"/>
  <c r="BC64" i="163"/>
  <c r="AY64" i="163"/>
  <c r="AU64" i="163"/>
  <c r="AQ64" i="163"/>
  <c r="AM64" i="163"/>
  <c r="AI64" i="163"/>
  <c r="AE64" i="163"/>
  <c r="AA64" i="163"/>
  <c r="W64" i="163"/>
  <c r="S64" i="163"/>
  <c r="O64" i="163"/>
  <c r="J64" i="163"/>
  <c r="BW63" i="163"/>
  <c r="BS63" i="163"/>
  <c r="BO63" i="163"/>
  <c r="BK63" i="163"/>
  <c r="BG63" i="163"/>
  <c r="BC63" i="163"/>
  <c r="AY63" i="163"/>
  <c r="AU63" i="163"/>
  <c r="AQ63" i="163"/>
  <c r="AM63" i="163"/>
  <c r="AI63" i="163"/>
  <c r="AE63" i="163"/>
  <c r="AA63" i="163"/>
  <c r="W63" i="163"/>
  <c r="S63" i="163"/>
  <c r="O63" i="163"/>
  <c r="J63" i="163"/>
  <c r="BW62" i="163"/>
  <c r="BS62" i="163"/>
  <c r="BO62" i="163"/>
  <c r="BK62" i="163"/>
  <c r="BG62" i="163"/>
  <c r="BC62" i="163"/>
  <c r="AY62" i="163"/>
  <c r="AU62" i="163"/>
  <c r="AQ62" i="163"/>
  <c r="AM62" i="163"/>
  <c r="AI62" i="163"/>
  <c r="AE62" i="163"/>
  <c r="AA62" i="163"/>
  <c r="W62" i="163"/>
  <c r="S62" i="163"/>
  <c r="O62" i="163"/>
  <c r="J62" i="163"/>
  <c r="BW61" i="163"/>
  <c r="BS61" i="163"/>
  <c r="BO61" i="163"/>
  <c r="BK61" i="163"/>
  <c r="BG61" i="163"/>
  <c r="BC61" i="163"/>
  <c r="AY61" i="163"/>
  <c r="AU61" i="163"/>
  <c r="AQ61" i="163"/>
  <c r="AM61" i="163"/>
  <c r="AI61" i="163"/>
  <c r="AE61" i="163"/>
  <c r="AA61" i="163"/>
  <c r="W61" i="163"/>
  <c r="S61" i="163"/>
  <c r="O61" i="163"/>
  <c r="J61" i="163"/>
  <c r="BW60" i="163"/>
  <c r="BS60" i="163"/>
  <c r="BO60" i="163"/>
  <c r="BK60" i="163"/>
  <c r="BG60" i="163"/>
  <c r="BC60" i="163"/>
  <c r="AY60" i="163"/>
  <c r="AU60" i="163"/>
  <c r="AQ60" i="163"/>
  <c r="AM60" i="163"/>
  <c r="AI60" i="163"/>
  <c r="AE60" i="163"/>
  <c r="AA60" i="163"/>
  <c r="W60" i="163"/>
  <c r="S60" i="163"/>
  <c r="O60" i="163"/>
  <c r="J60" i="163"/>
  <c r="BW59" i="163"/>
  <c r="BS59" i="163"/>
  <c r="BO59" i="163"/>
  <c r="BK59" i="163"/>
  <c r="BG59" i="163"/>
  <c r="BC59" i="163"/>
  <c r="AY59" i="163"/>
  <c r="AU59" i="163"/>
  <c r="AQ59" i="163"/>
  <c r="AM59" i="163"/>
  <c r="AI59" i="163"/>
  <c r="AE59" i="163"/>
  <c r="AA59" i="163"/>
  <c r="W59" i="163"/>
  <c r="S59" i="163"/>
  <c r="O59" i="163"/>
  <c r="J59" i="163"/>
  <c r="BW58" i="163"/>
  <c r="BS58" i="163"/>
  <c r="BO58" i="163"/>
  <c r="BK58" i="163"/>
  <c r="BG58" i="163"/>
  <c r="BC58" i="163"/>
  <c r="AY58" i="163"/>
  <c r="AU58" i="163"/>
  <c r="AQ58" i="163"/>
  <c r="AM58" i="163"/>
  <c r="AI58" i="163"/>
  <c r="AE58" i="163"/>
  <c r="AA58" i="163"/>
  <c r="W58" i="163"/>
  <c r="S58" i="163"/>
  <c r="O58" i="163"/>
  <c r="J58" i="163"/>
  <c r="BW57" i="163"/>
  <c r="BS57" i="163"/>
  <c r="BO57" i="163"/>
  <c r="BK57" i="163"/>
  <c r="BG57" i="163"/>
  <c r="BC57" i="163"/>
  <c r="AY57" i="163"/>
  <c r="AU57" i="163"/>
  <c r="AQ57" i="163"/>
  <c r="AM57" i="163"/>
  <c r="AI57" i="163"/>
  <c r="AE57" i="163"/>
  <c r="AA57" i="163"/>
  <c r="W57" i="163"/>
  <c r="S57" i="163"/>
  <c r="O57" i="163"/>
  <c r="J57" i="163"/>
  <c r="BW56" i="163"/>
  <c r="BS56" i="163"/>
  <c r="BO56" i="163"/>
  <c r="BK56" i="163"/>
  <c r="BG56" i="163"/>
  <c r="BC56" i="163"/>
  <c r="AY56" i="163"/>
  <c r="AU56" i="163"/>
  <c r="AQ56" i="163"/>
  <c r="AM56" i="163"/>
  <c r="AI56" i="163"/>
  <c r="AE56" i="163"/>
  <c r="AA56" i="163"/>
  <c r="W56" i="163"/>
  <c r="S56" i="163"/>
  <c r="O56" i="163"/>
  <c r="J56" i="163"/>
  <c r="BW55" i="163"/>
  <c r="BS55" i="163"/>
  <c r="BO55" i="163"/>
  <c r="BK55" i="163"/>
  <c r="BG55" i="163"/>
  <c r="BC55" i="163"/>
  <c r="AY55" i="163"/>
  <c r="AU55" i="163"/>
  <c r="AQ55" i="163"/>
  <c r="AM55" i="163"/>
  <c r="AI55" i="163"/>
  <c r="AE55" i="163"/>
  <c r="AA55" i="163"/>
  <c r="W55" i="163"/>
  <c r="S55" i="163"/>
  <c r="O55" i="163"/>
  <c r="J55" i="163"/>
  <c r="BW54" i="163"/>
  <c r="BS54" i="163"/>
  <c r="BO54" i="163"/>
  <c r="BK54" i="163"/>
  <c r="BG54" i="163"/>
  <c r="BC54" i="163"/>
  <c r="AY54" i="163"/>
  <c r="AU54" i="163"/>
  <c r="AQ54" i="163"/>
  <c r="AM54" i="163"/>
  <c r="AI54" i="163"/>
  <c r="AE54" i="163"/>
  <c r="AA54" i="163"/>
  <c r="W54" i="163"/>
  <c r="S54" i="163"/>
  <c r="O54" i="163"/>
  <c r="J54" i="163"/>
  <c r="BW53" i="163"/>
  <c r="BS53" i="163"/>
  <c r="BO53" i="163"/>
  <c r="BK53" i="163"/>
  <c r="BG53" i="163"/>
  <c r="BC53" i="163"/>
  <c r="AY53" i="163"/>
  <c r="AU53" i="163"/>
  <c r="AQ53" i="163"/>
  <c r="AM53" i="163"/>
  <c r="AI53" i="163"/>
  <c r="AE53" i="163"/>
  <c r="AA53" i="163"/>
  <c r="W53" i="163"/>
  <c r="S53" i="163"/>
  <c r="O53" i="163"/>
  <c r="J53" i="163"/>
  <c r="BW52" i="163"/>
  <c r="BS52" i="163"/>
  <c r="BO52" i="163"/>
  <c r="BK52" i="163"/>
  <c r="BG52" i="163"/>
  <c r="BC52" i="163"/>
  <c r="AY52" i="163"/>
  <c r="AU52" i="163"/>
  <c r="AQ52" i="163"/>
  <c r="AM52" i="163"/>
  <c r="AI52" i="163"/>
  <c r="AE52" i="163"/>
  <c r="AA52" i="163"/>
  <c r="W52" i="163"/>
  <c r="S52" i="163"/>
  <c r="O52" i="163"/>
  <c r="J52" i="163"/>
  <c r="BW51" i="163"/>
  <c r="BS51" i="163"/>
  <c r="BO51" i="163"/>
  <c r="BK51" i="163"/>
  <c r="BG51" i="163"/>
  <c r="BC51" i="163"/>
  <c r="AY51" i="163"/>
  <c r="AU51" i="163"/>
  <c r="AQ51" i="163"/>
  <c r="AM51" i="163"/>
  <c r="AI51" i="163"/>
  <c r="AE51" i="163"/>
  <c r="AA51" i="163"/>
  <c r="W51" i="163"/>
  <c r="S51" i="163"/>
  <c r="O51" i="163"/>
  <c r="J51" i="163"/>
  <c r="BW50" i="163"/>
  <c r="BS50" i="163"/>
  <c r="BO50" i="163"/>
  <c r="BK50" i="163"/>
  <c r="BG50" i="163"/>
  <c r="BC50" i="163"/>
  <c r="AY50" i="163"/>
  <c r="AU50" i="163"/>
  <c r="AQ50" i="163"/>
  <c r="AM50" i="163"/>
  <c r="AI50" i="163"/>
  <c r="AE50" i="163"/>
  <c r="AA50" i="163"/>
  <c r="W50" i="163"/>
  <c r="S50" i="163"/>
  <c r="O50" i="163"/>
  <c r="J50" i="163"/>
  <c r="BW49" i="163"/>
  <c r="BS49" i="163"/>
  <c r="BO49" i="163"/>
  <c r="BK49" i="163"/>
  <c r="BG49" i="163"/>
  <c r="BC49" i="163"/>
  <c r="AY49" i="163"/>
  <c r="AU49" i="163"/>
  <c r="AQ49" i="163"/>
  <c r="AM49" i="163"/>
  <c r="AI49" i="163"/>
  <c r="AE49" i="163"/>
  <c r="AA49" i="163"/>
  <c r="W49" i="163"/>
  <c r="S49" i="163"/>
  <c r="O49" i="163"/>
  <c r="J49" i="163"/>
  <c r="BW48" i="163"/>
  <c r="BS48" i="163"/>
  <c r="BO48" i="163"/>
  <c r="BK48" i="163"/>
  <c r="BG48" i="163"/>
  <c r="BC48" i="163"/>
  <c r="AY48" i="163"/>
  <c r="AU48" i="163"/>
  <c r="AQ48" i="163"/>
  <c r="AM48" i="163"/>
  <c r="AI48" i="163"/>
  <c r="AE48" i="163"/>
  <c r="AA48" i="163"/>
  <c r="W48" i="163"/>
  <c r="S48" i="163"/>
  <c r="O48" i="163"/>
  <c r="J48" i="163"/>
  <c r="BW47" i="163"/>
  <c r="BS47" i="163"/>
  <c r="BO47" i="163"/>
  <c r="BK47" i="163"/>
  <c r="BG47" i="163"/>
  <c r="BC47" i="163"/>
  <c r="AY47" i="163"/>
  <c r="AU47" i="163"/>
  <c r="AQ47" i="163"/>
  <c r="AM47" i="163"/>
  <c r="AI47" i="163"/>
  <c r="AE47" i="163"/>
  <c r="AA47" i="163"/>
  <c r="W47" i="163"/>
  <c r="S47" i="163"/>
  <c r="O47" i="163"/>
  <c r="J47" i="163"/>
  <c r="BW46" i="163"/>
  <c r="BS46" i="163"/>
  <c r="BO46" i="163"/>
  <c r="BK46" i="163"/>
  <c r="BG46" i="163"/>
  <c r="BC46" i="163"/>
  <c r="AY46" i="163"/>
  <c r="AU46" i="163"/>
  <c r="AQ46" i="163"/>
  <c r="AM46" i="163"/>
  <c r="AI46" i="163"/>
  <c r="AE46" i="163"/>
  <c r="AA46" i="163"/>
  <c r="W46" i="163"/>
  <c r="S46" i="163"/>
  <c r="O46" i="163"/>
  <c r="J46" i="163"/>
  <c r="BW45" i="163"/>
  <c r="BS45" i="163"/>
  <c r="BO45" i="163"/>
  <c r="BK45" i="163"/>
  <c r="BG45" i="163"/>
  <c r="BC45" i="163"/>
  <c r="AY45" i="163"/>
  <c r="AU45" i="163"/>
  <c r="AQ45" i="163"/>
  <c r="AM45" i="163"/>
  <c r="AI45" i="163"/>
  <c r="AE45" i="163"/>
  <c r="AA45" i="163"/>
  <c r="W45" i="163"/>
  <c r="S45" i="163"/>
  <c r="O45" i="163"/>
  <c r="J45" i="163"/>
  <c r="BW44" i="163"/>
  <c r="BS44" i="163"/>
  <c r="BO44" i="163"/>
  <c r="BK44" i="163"/>
  <c r="BG44" i="163"/>
  <c r="BC44" i="163"/>
  <c r="AY44" i="163"/>
  <c r="AU44" i="163"/>
  <c r="AQ44" i="163"/>
  <c r="AM44" i="163"/>
  <c r="AI44" i="163"/>
  <c r="AE44" i="163"/>
  <c r="AA44" i="163"/>
  <c r="W44" i="163"/>
  <c r="S44" i="163"/>
  <c r="O44" i="163"/>
  <c r="J44" i="163"/>
  <c r="BW43" i="163"/>
  <c r="BS43" i="163"/>
  <c r="BO43" i="163"/>
  <c r="BK43" i="163"/>
  <c r="BG43" i="163"/>
  <c r="BC43" i="163"/>
  <c r="AY43" i="163"/>
  <c r="AU43" i="163"/>
  <c r="AQ43" i="163"/>
  <c r="AM43" i="163"/>
  <c r="AI43" i="163"/>
  <c r="AE43" i="163"/>
  <c r="AA43" i="163"/>
  <c r="W43" i="163"/>
  <c r="S43" i="163"/>
  <c r="O43" i="163"/>
  <c r="J43" i="163"/>
  <c r="BW42" i="163"/>
  <c r="BS42" i="163"/>
  <c r="BO42" i="163"/>
  <c r="BK42" i="163"/>
  <c r="BG42" i="163"/>
  <c r="BC42" i="163"/>
  <c r="AY42" i="163"/>
  <c r="AU42" i="163"/>
  <c r="AQ42" i="163"/>
  <c r="AM42" i="163"/>
  <c r="AI42" i="163"/>
  <c r="AE42" i="163"/>
  <c r="AA42" i="163"/>
  <c r="W42" i="163"/>
  <c r="S42" i="163"/>
  <c r="O42" i="163"/>
  <c r="J42" i="163"/>
  <c r="BW41" i="163"/>
  <c r="BS41" i="163"/>
  <c r="BO41" i="163"/>
  <c r="BK41" i="163"/>
  <c r="BG41" i="163"/>
  <c r="BC41" i="163"/>
  <c r="AY41" i="163"/>
  <c r="AU41" i="163"/>
  <c r="AQ41" i="163"/>
  <c r="AM41" i="163"/>
  <c r="AI41" i="163"/>
  <c r="AE41" i="163"/>
  <c r="AA41" i="163"/>
  <c r="W41" i="163"/>
  <c r="S41" i="163"/>
  <c r="O41" i="163"/>
  <c r="J41" i="163"/>
  <c r="BW40" i="163"/>
  <c r="BS40" i="163"/>
  <c r="BO40" i="163"/>
  <c r="BK40" i="163"/>
  <c r="BG40" i="163"/>
  <c r="BC40" i="163"/>
  <c r="AY40" i="163"/>
  <c r="AU40" i="163"/>
  <c r="AQ40" i="163"/>
  <c r="AM40" i="163"/>
  <c r="AI40" i="163"/>
  <c r="AE40" i="163"/>
  <c r="AA40" i="163"/>
  <c r="W40" i="163"/>
  <c r="S40" i="163"/>
  <c r="O40" i="163"/>
  <c r="J40" i="163"/>
  <c r="BW39" i="163"/>
  <c r="BS39" i="163"/>
  <c r="BO39" i="163"/>
  <c r="BK39" i="163"/>
  <c r="BG39" i="163"/>
  <c r="BC39" i="163"/>
  <c r="AY39" i="163"/>
  <c r="AU39" i="163"/>
  <c r="AQ39" i="163"/>
  <c r="AM39" i="163"/>
  <c r="AI39" i="163"/>
  <c r="AE39" i="163"/>
  <c r="AA39" i="163"/>
  <c r="W39" i="163"/>
  <c r="S39" i="163"/>
  <c r="O39" i="163"/>
  <c r="J39" i="163"/>
  <c r="BW38" i="163"/>
  <c r="BS38" i="163"/>
  <c r="BO38" i="163"/>
  <c r="BK38" i="163"/>
  <c r="BG38" i="163"/>
  <c r="BC38" i="163"/>
  <c r="AY38" i="163"/>
  <c r="AU38" i="163"/>
  <c r="AQ38" i="163"/>
  <c r="AM38" i="163"/>
  <c r="AI38" i="163"/>
  <c r="AE38" i="163"/>
  <c r="AA38" i="163"/>
  <c r="W38" i="163"/>
  <c r="S38" i="163"/>
  <c r="O38" i="163"/>
  <c r="J38" i="163"/>
  <c r="BW37" i="163"/>
  <c r="BS37" i="163"/>
  <c r="BO37" i="163"/>
  <c r="BK37" i="163"/>
  <c r="BG37" i="163"/>
  <c r="BC37" i="163"/>
  <c r="AY37" i="163"/>
  <c r="AU37" i="163"/>
  <c r="AQ37" i="163"/>
  <c r="AM37" i="163"/>
  <c r="AI37" i="163"/>
  <c r="AE37" i="163"/>
  <c r="AA37" i="163"/>
  <c r="W37" i="163"/>
  <c r="S37" i="163"/>
  <c r="O37" i="163"/>
  <c r="J37" i="163"/>
  <c r="BW36" i="163"/>
  <c r="BS36" i="163"/>
  <c r="BO36" i="163"/>
  <c r="BK36" i="163"/>
  <c r="BG36" i="163"/>
  <c r="BC36" i="163"/>
  <c r="AY36" i="163"/>
  <c r="AU36" i="163"/>
  <c r="AQ36" i="163"/>
  <c r="AM36" i="163"/>
  <c r="AI36" i="163"/>
  <c r="AE36" i="163"/>
  <c r="AA36" i="163"/>
  <c r="W36" i="163"/>
  <c r="S36" i="163"/>
  <c r="O36" i="163"/>
  <c r="J36" i="163"/>
  <c r="BW35" i="163"/>
  <c r="BS35" i="163"/>
  <c r="BO35" i="163"/>
  <c r="BK35" i="163"/>
  <c r="BG35" i="163"/>
  <c r="BC35" i="163"/>
  <c r="AY35" i="163"/>
  <c r="AU35" i="163"/>
  <c r="AQ35" i="163"/>
  <c r="AM35" i="163"/>
  <c r="AI35" i="163"/>
  <c r="AE35" i="163"/>
  <c r="AA35" i="163"/>
  <c r="W35" i="163"/>
  <c r="S35" i="163"/>
  <c r="O35" i="163"/>
  <c r="J35" i="163"/>
  <c r="BW34" i="163"/>
  <c r="BS34" i="163"/>
  <c r="BO34" i="163"/>
  <c r="BK34" i="163"/>
  <c r="BG34" i="163"/>
  <c r="BC34" i="163"/>
  <c r="AY34" i="163"/>
  <c r="AU34" i="163"/>
  <c r="AQ34" i="163"/>
  <c r="AM34" i="163"/>
  <c r="AI34" i="163"/>
  <c r="AE34" i="163"/>
  <c r="AA34" i="163"/>
  <c r="W34" i="163"/>
  <c r="S34" i="163"/>
  <c r="O34" i="163"/>
  <c r="J34" i="163"/>
  <c r="BW33" i="163"/>
  <c r="BS33" i="163"/>
  <c r="BO33" i="163"/>
  <c r="BK33" i="163"/>
  <c r="BG33" i="163"/>
  <c r="BC33" i="163"/>
  <c r="AY33" i="163"/>
  <c r="AU33" i="163"/>
  <c r="AQ33" i="163"/>
  <c r="AM33" i="163"/>
  <c r="AI33" i="163"/>
  <c r="AE33" i="163"/>
  <c r="AA33" i="163"/>
  <c r="W33" i="163"/>
  <c r="S33" i="163"/>
  <c r="O33" i="163"/>
  <c r="J33" i="163"/>
  <c r="BW32" i="163"/>
  <c r="BS32" i="163"/>
  <c r="BO32" i="163"/>
  <c r="BK32" i="163"/>
  <c r="BG32" i="163"/>
  <c r="BC32" i="163"/>
  <c r="AY32" i="163"/>
  <c r="AU32" i="163"/>
  <c r="AQ32" i="163"/>
  <c r="AM32" i="163"/>
  <c r="AI32" i="163"/>
  <c r="AE32" i="163"/>
  <c r="AA32" i="163"/>
  <c r="W32" i="163"/>
  <c r="S32" i="163"/>
  <c r="O32" i="163"/>
  <c r="J32" i="163"/>
  <c r="BW31" i="163"/>
  <c r="BS31" i="163"/>
  <c r="BO31" i="163"/>
  <c r="BK31" i="163"/>
  <c r="BG31" i="163"/>
  <c r="BC31" i="163"/>
  <c r="AY31" i="163"/>
  <c r="AU31" i="163"/>
  <c r="AQ31" i="163"/>
  <c r="AM31" i="163"/>
  <c r="AI31" i="163"/>
  <c r="AE31" i="163"/>
  <c r="AA31" i="163"/>
  <c r="W31" i="163"/>
  <c r="S31" i="163"/>
  <c r="O31" i="163"/>
  <c r="J31" i="163"/>
  <c r="BW30" i="163"/>
  <c r="BS30" i="163"/>
  <c r="BO30" i="163"/>
  <c r="BK30" i="163"/>
  <c r="BG30" i="163"/>
  <c r="BC30" i="163"/>
  <c r="AY30" i="163"/>
  <c r="AU30" i="163"/>
  <c r="AQ30" i="163"/>
  <c r="AM30" i="163"/>
  <c r="AI30" i="163"/>
  <c r="AE30" i="163"/>
  <c r="AA30" i="163"/>
  <c r="W30" i="163"/>
  <c r="S30" i="163"/>
  <c r="O30" i="163"/>
  <c r="J30" i="163"/>
  <c r="BW29" i="163"/>
  <c r="BS29" i="163"/>
  <c r="BO29" i="163"/>
  <c r="BK29" i="163"/>
  <c r="BG29" i="163"/>
  <c r="BC29" i="163"/>
  <c r="AY29" i="163"/>
  <c r="AU29" i="163"/>
  <c r="AQ29" i="163"/>
  <c r="AM29" i="163"/>
  <c r="AI29" i="163"/>
  <c r="AE29" i="163"/>
  <c r="AA29" i="163"/>
  <c r="W29" i="163"/>
  <c r="S29" i="163"/>
  <c r="O29" i="163"/>
  <c r="J29" i="163"/>
  <c r="BW28" i="163"/>
  <c r="BS28" i="163"/>
  <c r="BO28" i="163"/>
  <c r="BK28" i="163"/>
  <c r="BG28" i="163"/>
  <c r="BC28" i="163"/>
  <c r="AY28" i="163"/>
  <c r="AU28" i="163"/>
  <c r="AQ28" i="163"/>
  <c r="AM28" i="163"/>
  <c r="AI28" i="163"/>
  <c r="AE28" i="163"/>
  <c r="AA28" i="163"/>
  <c r="W28" i="163"/>
  <c r="S28" i="163"/>
  <c r="O28" i="163"/>
  <c r="J28" i="163"/>
  <c r="BW27" i="163"/>
  <c r="BS27" i="163"/>
  <c r="BO27" i="163"/>
  <c r="BK27" i="163"/>
  <c r="BG27" i="163"/>
  <c r="BC27" i="163"/>
  <c r="AY27" i="163"/>
  <c r="AU27" i="163"/>
  <c r="AQ27" i="163"/>
  <c r="AM27" i="163"/>
  <c r="AI27" i="163"/>
  <c r="AE27" i="163"/>
  <c r="AA27" i="163"/>
  <c r="W27" i="163"/>
  <c r="S27" i="163"/>
  <c r="O27" i="163"/>
  <c r="J27" i="163"/>
  <c r="BW26" i="163"/>
  <c r="BS26" i="163"/>
  <c r="BO26" i="163"/>
  <c r="BK26" i="163"/>
  <c r="BG26" i="163"/>
  <c r="BC26" i="163"/>
  <c r="AY26" i="163"/>
  <c r="AU26" i="163"/>
  <c r="AQ26" i="163"/>
  <c r="AM26" i="163"/>
  <c r="AI26" i="163"/>
  <c r="AE26" i="163"/>
  <c r="AA26" i="163"/>
  <c r="W26" i="163"/>
  <c r="S26" i="163"/>
  <c r="O26" i="163"/>
  <c r="J26" i="163"/>
  <c r="BW25" i="163"/>
  <c r="BS25" i="163"/>
  <c r="BO25" i="163"/>
  <c r="BK25" i="163"/>
  <c r="BG25" i="163"/>
  <c r="BC25" i="163"/>
  <c r="AY25" i="163"/>
  <c r="AU25" i="163"/>
  <c r="AQ25" i="163"/>
  <c r="AM25" i="163"/>
  <c r="AI25" i="163"/>
  <c r="AE25" i="163"/>
  <c r="AA25" i="163"/>
  <c r="W25" i="163"/>
  <c r="S25" i="163"/>
  <c r="O25" i="163"/>
  <c r="J25" i="163"/>
  <c r="BW24" i="163"/>
  <c r="BS24" i="163"/>
  <c r="BO24" i="163"/>
  <c r="BK24" i="163"/>
  <c r="BG24" i="163"/>
  <c r="BC24" i="163"/>
  <c r="AY24" i="163"/>
  <c r="AU24" i="163"/>
  <c r="AQ24" i="163"/>
  <c r="AM24" i="163"/>
  <c r="AI24" i="163"/>
  <c r="AE24" i="163"/>
  <c r="AA24" i="163"/>
  <c r="W24" i="163"/>
  <c r="S24" i="163"/>
  <c r="O24" i="163"/>
  <c r="J24" i="163"/>
  <c r="BW23" i="163"/>
  <c r="BS23" i="163"/>
  <c r="BO23" i="163"/>
  <c r="BK23" i="163"/>
  <c r="BG23" i="163"/>
  <c r="BC23" i="163"/>
  <c r="AY23" i="163"/>
  <c r="AU23" i="163"/>
  <c r="AQ23" i="163"/>
  <c r="AM23" i="163"/>
  <c r="AI23" i="163"/>
  <c r="AE23" i="163"/>
  <c r="AA23" i="163"/>
  <c r="W23" i="163"/>
  <c r="S23" i="163"/>
  <c r="O23" i="163"/>
  <c r="J23" i="163"/>
  <c r="BW22" i="163"/>
  <c r="BS22" i="163"/>
  <c r="BO22" i="163"/>
  <c r="BK22" i="163"/>
  <c r="BG22" i="163"/>
  <c r="BC22" i="163"/>
  <c r="AY22" i="163"/>
  <c r="AU22" i="163"/>
  <c r="AQ22" i="163"/>
  <c r="AM22" i="163"/>
  <c r="AI22" i="163"/>
  <c r="AE22" i="163"/>
  <c r="AA22" i="163"/>
  <c r="W22" i="163"/>
  <c r="S22" i="163"/>
  <c r="O22" i="163"/>
  <c r="J22" i="163"/>
  <c r="BW21" i="163"/>
  <c r="BS21" i="163"/>
  <c r="BO21" i="163"/>
  <c r="BK21" i="163"/>
  <c r="BG21" i="163"/>
  <c r="BC21" i="163"/>
  <c r="AY21" i="163"/>
  <c r="AU21" i="163"/>
  <c r="AQ21" i="163"/>
  <c r="AM21" i="163"/>
  <c r="AI21" i="163"/>
  <c r="AE21" i="163"/>
  <c r="AA21" i="163"/>
  <c r="W21" i="163"/>
  <c r="S21" i="163"/>
  <c r="O21" i="163"/>
  <c r="J21" i="163"/>
  <c r="BW20" i="163"/>
  <c r="BS20" i="163"/>
  <c r="BO20" i="163"/>
  <c r="BK20" i="163"/>
  <c r="BG20" i="163"/>
  <c r="BC20" i="163"/>
  <c r="AY20" i="163"/>
  <c r="AU20" i="163"/>
  <c r="AQ20" i="163"/>
  <c r="AM20" i="163"/>
  <c r="AI20" i="163"/>
  <c r="AE20" i="163"/>
  <c r="AA20" i="163"/>
  <c r="W20" i="163"/>
  <c r="S20" i="163"/>
  <c r="O20" i="163"/>
  <c r="J20" i="163"/>
  <c r="BW19" i="163"/>
  <c r="BS19" i="163"/>
  <c r="BO19" i="163"/>
  <c r="BK19" i="163"/>
  <c r="BG19" i="163"/>
  <c r="BC19" i="163"/>
  <c r="AY19" i="163"/>
  <c r="AU19" i="163"/>
  <c r="AQ19" i="163"/>
  <c r="AM19" i="163"/>
  <c r="AI19" i="163"/>
  <c r="AE19" i="163"/>
  <c r="AA19" i="163"/>
  <c r="W19" i="163"/>
  <c r="S19" i="163"/>
  <c r="O19" i="163"/>
  <c r="J19" i="163"/>
  <c r="BW18" i="163"/>
  <c r="BS18" i="163"/>
  <c r="BO18" i="163"/>
  <c r="BK18" i="163"/>
  <c r="BG18" i="163"/>
  <c r="BC18" i="163"/>
  <c r="AY18" i="163"/>
  <c r="AU18" i="163"/>
  <c r="AQ18" i="163"/>
  <c r="AM18" i="163"/>
  <c r="AI18" i="163"/>
  <c r="AE18" i="163"/>
  <c r="AA18" i="163"/>
  <c r="W18" i="163"/>
  <c r="S18" i="163"/>
  <c r="O18" i="163"/>
  <c r="J18" i="163"/>
  <c r="BW17" i="163"/>
  <c r="BS17" i="163"/>
  <c r="BO17" i="163"/>
  <c r="BK17" i="163"/>
  <c r="BG17" i="163"/>
  <c r="BC17" i="163"/>
  <c r="AY17" i="163"/>
  <c r="AU17" i="163"/>
  <c r="AQ17" i="163"/>
  <c r="AM17" i="163"/>
  <c r="AI17" i="163"/>
  <c r="AE17" i="163"/>
  <c r="AA17" i="163"/>
  <c r="W17" i="163"/>
  <c r="S17" i="163"/>
  <c r="O17" i="163"/>
  <c r="J17" i="163"/>
  <c r="BW16" i="163"/>
  <c r="BS16" i="163"/>
  <c r="BO16" i="163"/>
  <c r="BK16" i="163"/>
  <c r="BG16" i="163"/>
  <c r="BC16" i="163"/>
  <c r="AY16" i="163"/>
  <c r="AU16" i="163"/>
  <c r="AQ16" i="163"/>
  <c r="AM16" i="163"/>
  <c r="AI16" i="163"/>
  <c r="AE16" i="163"/>
  <c r="AA16" i="163"/>
  <c r="W16" i="163"/>
  <c r="S16" i="163"/>
  <c r="O16" i="163"/>
  <c r="J16" i="163"/>
  <c r="BW15" i="163"/>
  <c r="BS15" i="163"/>
  <c r="BO15" i="163"/>
  <c r="BK15" i="163"/>
  <c r="BG15" i="163"/>
  <c r="BC15" i="163"/>
  <c r="AY15" i="163"/>
  <c r="AU15" i="163"/>
  <c r="AQ15" i="163"/>
  <c r="AM15" i="163"/>
  <c r="AI15" i="163"/>
  <c r="AE15" i="163"/>
  <c r="AA15" i="163"/>
  <c r="W15" i="163"/>
  <c r="S15" i="163"/>
  <c r="O15" i="163"/>
  <c r="J15" i="163"/>
  <c r="BW14" i="163"/>
  <c r="BS14" i="163"/>
  <c r="BO14" i="163"/>
  <c r="BK14" i="163"/>
  <c r="BG14" i="163"/>
  <c r="BC14" i="163"/>
  <c r="AY14" i="163"/>
  <c r="AU14" i="163"/>
  <c r="AQ14" i="163"/>
  <c r="AM14" i="163"/>
  <c r="AI14" i="163"/>
  <c r="AE14" i="163"/>
  <c r="AA14" i="163"/>
  <c r="W14" i="163"/>
  <c r="S14" i="163"/>
  <c r="O14" i="163"/>
  <c r="J14" i="163"/>
  <c r="BW13" i="163"/>
  <c r="BS13" i="163"/>
  <c r="BO13" i="163"/>
  <c r="BK13" i="163"/>
  <c r="BG13" i="163"/>
  <c r="BC13" i="163"/>
  <c r="AY13" i="163"/>
  <c r="AU13" i="163"/>
  <c r="AQ13" i="163"/>
  <c r="AM13" i="163"/>
  <c r="AI13" i="163"/>
  <c r="AE13" i="163"/>
  <c r="AA13" i="163"/>
  <c r="W13" i="163"/>
  <c r="S13" i="163"/>
  <c r="O13" i="163"/>
  <c r="J13" i="163"/>
  <c r="BW12" i="163"/>
  <c r="BS12" i="163"/>
  <c r="BO12" i="163"/>
  <c r="BK12" i="163"/>
  <c r="BG12" i="163"/>
  <c r="BC12" i="163"/>
  <c r="AY12" i="163"/>
  <c r="AU12" i="163"/>
  <c r="AQ12" i="163"/>
  <c r="AM12" i="163"/>
  <c r="AI12" i="163"/>
  <c r="AE12" i="163"/>
  <c r="AA12" i="163"/>
  <c r="W12" i="163"/>
  <c r="S12" i="163"/>
  <c r="O12" i="163"/>
  <c r="J12" i="163"/>
  <c r="BW11" i="163"/>
  <c r="BS11" i="163"/>
  <c r="BO11" i="163"/>
  <c r="BK11" i="163"/>
  <c r="BG11" i="163"/>
  <c r="BC11" i="163"/>
  <c r="AY11" i="163"/>
  <c r="AU11" i="163"/>
  <c r="AQ11" i="163"/>
  <c r="AM11" i="163"/>
  <c r="AI11" i="163"/>
  <c r="AE11" i="163"/>
  <c r="AA11" i="163"/>
  <c r="W11" i="163"/>
  <c r="S11" i="163"/>
  <c r="O11" i="163"/>
  <c r="J11" i="163"/>
  <c r="BW10" i="163"/>
  <c r="BS10" i="163"/>
  <c r="BO10" i="163"/>
  <c r="BK10" i="163"/>
  <c r="BG10" i="163"/>
  <c r="BC10" i="163"/>
  <c r="AY10" i="163"/>
  <c r="AU10" i="163"/>
  <c r="AQ10" i="163"/>
  <c r="AM10" i="163"/>
  <c r="AI10" i="163"/>
  <c r="AE10" i="163"/>
  <c r="AA10" i="163"/>
  <c r="W10" i="163"/>
  <c r="S10" i="163"/>
  <c r="O10" i="163"/>
  <c r="J10" i="163"/>
  <c r="BW9" i="163"/>
  <c r="BS9" i="163"/>
  <c r="BO9" i="163"/>
  <c r="BK9" i="163"/>
  <c r="BG9" i="163"/>
  <c r="BC9" i="163"/>
  <c r="AY9" i="163"/>
  <c r="AU9" i="163"/>
  <c r="AQ9" i="163"/>
  <c r="AM9" i="163"/>
  <c r="AI9" i="163"/>
  <c r="AE9" i="163"/>
  <c r="AA9" i="163"/>
  <c r="W9" i="163"/>
  <c r="S9" i="163"/>
  <c r="O9" i="163"/>
  <c r="J9" i="163"/>
  <c r="BW8" i="163"/>
  <c r="BS8" i="163"/>
  <c r="BO8" i="163"/>
  <c r="BK8" i="163"/>
  <c r="BG8" i="163"/>
  <c r="BC8" i="163"/>
  <c r="AY8" i="163"/>
  <c r="AU8" i="163"/>
  <c r="AQ8" i="163"/>
  <c r="AM8" i="163"/>
  <c r="AI8" i="163"/>
  <c r="AE8" i="163"/>
  <c r="AA8" i="163"/>
  <c r="W8" i="163"/>
  <c r="S8" i="163"/>
  <c r="O8" i="163"/>
  <c r="J8" i="163"/>
  <c r="BW7" i="163"/>
  <c r="BS7" i="163"/>
  <c r="BO7" i="163"/>
  <c r="BK7" i="163"/>
  <c r="BG7" i="163"/>
  <c r="BC7" i="163"/>
  <c r="AY7" i="163"/>
  <c r="AU7" i="163"/>
  <c r="AQ7" i="163"/>
  <c r="AM7" i="163"/>
  <c r="AI7" i="163"/>
  <c r="AE7" i="163"/>
  <c r="AA7" i="163"/>
  <c r="W7" i="163"/>
  <c r="S7" i="163"/>
  <c r="O7" i="163"/>
  <c r="J7" i="163"/>
  <c r="BU6" i="163"/>
  <c r="BT6" i="163"/>
  <c r="BM6" i="163"/>
  <c r="BL6" i="163"/>
  <c r="BK6" i="163"/>
  <c r="BJ6" i="163"/>
  <c r="BI6" i="163"/>
  <c r="BH6" i="163"/>
  <c r="BD6" i="163"/>
  <c r="AW6" i="163"/>
  <c r="AV6" i="163"/>
  <c r="AO6" i="163"/>
  <c r="AN6" i="163"/>
  <c r="AM6" i="163"/>
  <c r="AL6" i="163"/>
  <c r="AK6" i="163"/>
  <c r="AJ6" i="163"/>
  <c r="AF6" i="163"/>
  <c r="Y6" i="163"/>
  <c r="X6" i="163"/>
  <c r="Q6" i="163"/>
  <c r="P6" i="163"/>
  <c r="O6" i="163"/>
  <c r="N6" i="163"/>
  <c r="M6" i="163"/>
  <c r="L6" i="163"/>
  <c r="BH5" i="163"/>
  <c r="BK5" i="163" s="1"/>
  <c r="BG5" i="163"/>
  <c r="BD5" i="163"/>
  <c r="AZ5" i="163"/>
  <c r="BC5" i="163" s="1"/>
  <c r="AJ5" i="163"/>
  <c r="AM5" i="163" s="1"/>
  <c r="AI5" i="163"/>
  <c r="AF5" i="163"/>
  <c r="AB5" i="163"/>
  <c r="AE5" i="163" s="1"/>
  <c r="L5" i="163"/>
  <c r="O5" i="163" s="1"/>
  <c r="BT4" i="163"/>
  <c r="BS4" i="163"/>
  <c r="BT5" i="163" s="1"/>
  <c r="BW5" i="163" s="1"/>
  <c r="BO4" i="163"/>
  <c r="BR6" i="163" s="1"/>
  <c r="BS6" i="163" s="1"/>
  <c r="BK4" i="163"/>
  <c r="BL4" i="163" s="1"/>
  <c r="BG4" i="163"/>
  <c r="BH4" i="163" s="1"/>
  <c r="BC4" i="163"/>
  <c r="BF6" i="163" s="1"/>
  <c r="BG6" i="163" s="1"/>
  <c r="AY4" i="163"/>
  <c r="AZ6" i="163" s="1"/>
  <c r="AV4" i="163"/>
  <c r="AU4" i="163"/>
  <c r="AV5" i="163" s="1"/>
  <c r="AY5" i="163" s="1"/>
  <c r="AQ4" i="163"/>
  <c r="AT6" i="163" s="1"/>
  <c r="AU6" i="163" s="1"/>
  <c r="AM4" i="163"/>
  <c r="AN4" i="163" s="1"/>
  <c r="AI4" i="163"/>
  <c r="AJ4" i="163" s="1"/>
  <c r="AE4" i="163"/>
  <c r="AH6" i="163" s="1"/>
  <c r="AI6" i="163" s="1"/>
  <c r="AA4" i="163"/>
  <c r="AB6" i="163" s="1"/>
  <c r="X4" i="163"/>
  <c r="W4" i="163"/>
  <c r="X5" i="163" s="1"/>
  <c r="AA5" i="163" s="1"/>
  <c r="S4" i="163"/>
  <c r="V6" i="163" s="1"/>
  <c r="W6" i="163" s="1"/>
  <c r="O4" i="163"/>
  <c r="P4" i="163" s="1"/>
  <c r="K4" i="163"/>
  <c r="L4" i="163" s="1"/>
  <c r="J4" i="163"/>
  <c r="BT3" i="163"/>
  <c r="BP3" i="163"/>
  <c r="BL3" i="163"/>
  <c r="BH3" i="163"/>
  <c r="BD3" i="163"/>
  <c r="AZ3" i="163"/>
  <c r="AV3" i="163"/>
  <c r="AR3" i="163"/>
  <c r="AN3" i="163"/>
  <c r="AJ3" i="163"/>
  <c r="AF3" i="163"/>
  <c r="AB3" i="163"/>
  <c r="X3" i="163"/>
  <c r="T3" i="163"/>
  <c r="P3" i="163"/>
  <c r="L3" i="163"/>
  <c r="J3" i="163"/>
  <c r="J2" i="163"/>
  <c r="F1" i="163"/>
  <c r="BW82" i="162"/>
  <c r="BS82" i="162"/>
  <c r="BO82" i="162"/>
  <c r="BK82" i="162"/>
  <c r="BG82" i="162"/>
  <c r="BC82" i="162"/>
  <c r="AY82" i="162"/>
  <c r="AU82" i="162"/>
  <c r="AQ82" i="162"/>
  <c r="AM82" i="162"/>
  <c r="AI82" i="162"/>
  <c r="AE82" i="162"/>
  <c r="AA82" i="162"/>
  <c r="W82" i="162"/>
  <c r="S82" i="162"/>
  <c r="O82" i="162"/>
  <c r="J82" i="162"/>
  <c r="BW81" i="162"/>
  <c r="BS81" i="162"/>
  <c r="BO81" i="162"/>
  <c r="BK81" i="162"/>
  <c r="BG81" i="162"/>
  <c r="BC81" i="162"/>
  <c r="AY81" i="162"/>
  <c r="AU81" i="162"/>
  <c r="AQ81" i="162"/>
  <c r="AM81" i="162"/>
  <c r="AI81" i="162"/>
  <c r="AE81" i="162"/>
  <c r="AA81" i="162"/>
  <c r="W81" i="162"/>
  <c r="S81" i="162"/>
  <c r="O81" i="162"/>
  <c r="J81" i="162"/>
  <c r="BW80" i="162"/>
  <c r="BS80" i="162"/>
  <c r="BO80" i="162"/>
  <c r="BK80" i="162"/>
  <c r="BG80" i="162"/>
  <c r="BC80" i="162"/>
  <c r="AY80" i="162"/>
  <c r="AU80" i="162"/>
  <c r="AQ80" i="162"/>
  <c r="AM80" i="162"/>
  <c r="AI80" i="162"/>
  <c r="AE80" i="162"/>
  <c r="AA80" i="162"/>
  <c r="W80" i="162"/>
  <c r="S80" i="162"/>
  <c r="O80" i="162"/>
  <c r="J80" i="162"/>
  <c r="BW79" i="162"/>
  <c r="BS79" i="162"/>
  <c r="BO79" i="162"/>
  <c r="BK79" i="162"/>
  <c r="BG79" i="162"/>
  <c r="BC79" i="162"/>
  <c r="AY79" i="162"/>
  <c r="AU79" i="162"/>
  <c r="AQ79" i="162"/>
  <c r="AM79" i="162"/>
  <c r="AI79" i="162"/>
  <c r="AE79" i="162"/>
  <c r="AA79" i="162"/>
  <c r="W79" i="162"/>
  <c r="S79" i="162"/>
  <c r="O79" i="162"/>
  <c r="J79" i="162"/>
  <c r="BW78" i="162"/>
  <c r="BS78" i="162"/>
  <c r="BO78" i="162"/>
  <c r="BK78" i="162"/>
  <c r="BG78" i="162"/>
  <c r="BC78" i="162"/>
  <c r="AY78" i="162"/>
  <c r="AU78" i="162"/>
  <c r="AQ78" i="162"/>
  <c r="AM78" i="162"/>
  <c r="AI78" i="162"/>
  <c r="AE78" i="162"/>
  <c r="AA78" i="162"/>
  <c r="W78" i="162"/>
  <c r="S78" i="162"/>
  <c r="O78" i="162"/>
  <c r="J78" i="162"/>
  <c r="BW77" i="162"/>
  <c r="BS77" i="162"/>
  <c r="BO77" i="162"/>
  <c r="BK77" i="162"/>
  <c r="BG77" i="162"/>
  <c r="BC77" i="162"/>
  <c r="AY77" i="162"/>
  <c r="AU77" i="162"/>
  <c r="AQ77" i="162"/>
  <c r="AM77" i="162"/>
  <c r="AI77" i="162"/>
  <c r="AE77" i="162"/>
  <c r="AA77" i="162"/>
  <c r="W77" i="162"/>
  <c r="S77" i="162"/>
  <c r="O77" i="162"/>
  <c r="J77" i="162"/>
  <c r="BW76" i="162"/>
  <c r="BS76" i="162"/>
  <c r="BO76" i="162"/>
  <c r="BK76" i="162"/>
  <c r="BG76" i="162"/>
  <c r="BC76" i="162"/>
  <c r="AY76" i="162"/>
  <c r="AU76" i="162"/>
  <c r="AQ76" i="162"/>
  <c r="AM76" i="162"/>
  <c r="AI76" i="162"/>
  <c r="AE76" i="162"/>
  <c r="AA76" i="162"/>
  <c r="W76" i="162"/>
  <c r="S76" i="162"/>
  <c r="O76" i="162"/>
  <c r="J76" i="162"/>
  <c r="BW75" i="162"/>
  <c r="BS75" i="162"/>
  <c r="BO75" i="162"/>
  <c r="BK75" i="162"/>
  <c r="BG75" i="162"/>
  <c r="BC75" i="162"/>
  <c r="AY75" i="162"/>
  <c r="AU75" i="162"/>
  <c r="AQ75" i="162"/>
  <c r="AM75" i="162"/>
  <c r="AI75" i="162"/>
  <c r="AE75" i="162"/>
  <c r="AA75" i="162"/>
  <c r="W75" i="162"/>
  <c r="S75" i="162"/>
  <c r="O75" i="162"/>
  <c r="J75" i="162"/>
  <c r="BW74" i="162"/>
  <c r="BS74" i="162"/>
  <c r="BO74" i="162"/>
  <c r="BK74" i="162"/>
  <c r="BG74" i="162"/>
  <c r="BC74" i="162"/>
  <c r="AY74" i="162"/>
  <c r="AU74" i="162"/>
  <c r="AQ74" i="162"/>
  <c r="AM74" i="162"/>
  <c r="AI74" i="162"/>
  <c r="AE74" i="162"/>
  <c r="AA74" i="162"/>
  <c r="W74" i="162"/>
  <c r="S74" i="162"/>
  <c r="O74" i="162"/>
  <c r="J74" i="162"/>
  <c r="BW73" i="162"/>
  <c r="BS73" i="162"/>
  <c r="BO73" i="162"/>
  <c r="BK73" i="162"/>
  <c r="BG73" i="162"/>
  <c r="BC73" i="162"/>
  <c r="AY73" i="162"/>
  <c r="AU73" i="162"/>
  <c r="AQ73" i="162"/>
  <c r="AM73" i="162"/>
  <c r="AI73" i="162"/>
  <c r="AE73" i="162"/>
  <c r="AA73" i="162"/>
  <c r="W73" i="162"/>
  <c r="S73" i="162"/>
  <c r="O73" i="162"/>
  <c r="J73" i="162"/>
  <c r="BW72" i="162"/>
  <c r="BS72" i="162"/>
  <c r="BO72" i="162"/>
  <c r="BK72" i="162"/>
  <c r="BG72" i="162"/>
  <c r="BC72" i="162"/>
  <c r="AY72" i="162"/>
  <c r="AU72" i="162"/>
  <c r="AQ72" i="162"/>
  <c r="AM72" i="162"/>
  <c r="AI72" i="162"/>
  <c r="AE72" i="162"/>
  <c r="AA72" i="162"/>
  <c r="W72" i="162"/>
  <c r="S72" i="162"/>
  <c r="O72" i="162"/>
  <c r="J72" i="162"/>
  <c r="BW71" i="162"/>
  <c r="BS71" i="162"/>
  <c r="BO71" i="162"/>
  <c r="BK71" i="162"/>
  <c r="BG71" i="162"/>
  <c r="BC71" i="162"/>
  <c r="AY71" i="162"/>
  <c r="AU71" i="162"/>
  <c r="AQ71" i="162"/>
  <c r="AM71" i="162"/>
  <c r="AI71" i="162"/>
  <c r="AE71" i="162"/>
  <c r="AA71" i="162"/>
  <c r="W71" i="162"/>
  <c r="S71" i="162"/>
  <c r="O71" i="162"/>
  <c r="J71" i="162"/>
  <c r="BW70" i="162"/>
  <c r="BS70" i="162"/>
  <c r="BO70" i="162"/>
  <c r="BK70" i="162"/>
  <c r="BG70" i="162"/>
  <c r="BC70" i="162"/>
  <c r="AY70" i="162"/>
  <c r="AU70" i="162"/>
  <c r="AQ70" i="162"/>
  <c r="AM70" i="162"/>
  <c r="AI70" i="162"/>
  <c r="AE70" i="162"/>
  <c r="AA70" i="162"/>
  <c r="W70" i="162"/>
  <c r="S70" i="162"/>
  <c r="O70" i="162"/>
  <c r="J70" i="162"/>
  <c r="BW69" i="162"/>
  <c r="BS69" i="162"/>
  <c r="BO69" i="162"/>
  <c r="BK69" i="162"/>
  <c r="BG69" i="162"/>
  <c r="BC69" i="162"/>
  <c r="AY69" i="162"/>
  <c r="AU69" i="162"/>
  <c r="AQ69" i="162"/>
  <c r="AM69" i="162"/>
  <c r="AI69" i="162"/>
  <c r="AE69" i="162"/>
  <c r="AA69" i="162"/>
  <c r="W69" i="162"/>
  <c r="S69" i="162"/>
  <c r="O69" i="162"/>
  <c r="J69" i="162"/>
  <c r="BW68" i="162"/>
  <c r="BS68" i="162"/>
  <c r="BO68" i="162"/>
  <c r="BK68" i="162"/>
  <c r="BG68" i="162"/>
  <c r="BC68" i="162"/>
  <c r="AY68" i="162"/>
  <c r="AU68" i="162"/>
  <c r="AQ68" i="162"/>
  <c r="AM68" i="162"/>
  <c r="AI68" i="162"/>
  <c r="AE68" i="162"/>
  <c r="AA68" i="162"/>
  <c r="W68" i="162"/>
  <c r="S68" i="162"/>
  <c r="O68" i="162"/>
  <c r="J68" i="162"/>
  <c r="BW67" i="162"/>
  <c r="BS67" i="162"/>
  <c r="BO67" i="162"/>
  <c r="BK67" i="162"/>
  <c r="BG67" i="162"/>
  <c r="BC67" i="162"/>
  <c r="AY67" i="162"/>
  <c r="AU67" i="162"/>
  <c r="AQ67" i="162"/>
  <c r="AM67" i="162"/>
  <c r="AI67" i="162"/>
  <c r="AE67" i="162"/>
  <c r="AA67" i="162"/>
  <c r="W67" i="162"/>
  <c r="S67" i="162"/>
  <c r="O67" i="162"/>
  <c r="J67" i="162"/>
  <c r="BW66" i="162"/>
  <c r="BS66" i="162"/>
  <c r="BO66" i="162"/>
  <c r="BK66" i="162"/>
  <c r="BG66" i="162"/>
  <c r="BC66" i="162"/>
  <c r="AY66" i="162"/>
  <c r="AU66" i="162"/>
  <c r="AQ66" i="162"/>
  <c r="AM66" i="162"/>
  <c r="AI66" i="162"/>
  <c r="AE66" i="162"/>
  <c r="AA66" i="162"/>
  <c r="W66" i="162"/>
  <c r="S66" i="162"/>
  <c r="O66" i="162"/>
  <c r="J66" i="162"/>
  <c r="BW65" i="162"/>
  <c r="BS65" i="162"/>
  <c r="BO65" i="162"/>
  <c r="BK65" i="162"/>
  <c r="BG65" i="162"/>
  <c r="BC65" i="162"/>
  <c r="AY65" i="162"/>
  <c r="AU65" i="162"/>
  <c r="AQ65" i="162"/>
  <c r="AM65" i="162"/>
  <c r="AI65" i="162"/>
  <c r="AE65" i="162"/>
  <c r="AA65" i="162"/>
  <c r="W65" i="162"/>
  <c r="S65" i="162"/>
  <c r="O65" i="162"/>
  <c r="J65" i="162"/>
  <c r="BW64" i="162"/>
  <c r="BS64" i="162"/>
  <c r="BO64" i="162"/>
  <c r="BK64" i="162"/>
  <c r="BG64" i="162"/>
  <c r="BC64" i="162"/>
  <c r="AY64" i="162"/>
  <c r="AU64" i="162"/>
  <c r="AQ64" i="162"/>
  <c r="AM64" i="162"/>
  <c r="AI64" i="162"/>
  <c r="AE64" i="162"/>
  <c r="AA64" i="162"/>
  <c r="W64" i="162"/>
  <c r="S64" i="162"/>
  <c r="O64" i="162"/>
  <c r="J64" i="162"/>
  <c r="BW63" i="162"/>
  <c r="BS63" i="162"/>
  <c r="BO63" i="162"/>
  <c r="BK63" i="162"/>
  <c r="BG63" i="162"/>
  <c r="BC63" i="162"/>
  <c r="AY63" i="162"/>
  <c r="AU63" i="162"/>
  <c r="AQ63" i="162"/>
  <c r="AM63" i="162"/>
  <c r="AI63" i="162"/>
  <c r="AE63" i="162"/>
  <c r="AA63" i="162"/>
  <c r="W63" i="162"/>
  <c r="S63" i="162"/>
  <c r="O63" i="162"/>
  <c r="J63" i="162"/>
  <c r="BW62" i="162"/>
  <c r="BS62" i="162"/>
  <c r="BO62" i="162"/>
  <c r="BK62" i="162"/>
  <c r="BG62" i="162"/>
  <c r="BC62" i="162"/>
  <c r="AY62" i="162"/>
  <c r="AU62" i="162"/>
  <c r="AQ62" i="162"/>
  <c r="AM62" i="162"/>
  <c r="AI62" i="162"/>
  <c r="AE62" i="162"/>
  <c r="AA62" i="162"/>
  <c r="W62" i="162"/>
  <c r="S62" i="162"/>
  <c r="O62" i="162"/>
  <c r="J62" i="162"/>
  <c r="BW61" i="162"/>
  <c r="BS61" i="162"/>
  <c r="BO61" i="162"/>
  <c r="BK61" i="162"/>
  <c r="BG61" i="162"/>
  <c r="BC61" i="162"/>
  <c r="AY61" i="162"/>
  <c r="AU61" i="162"/>
  <c r="AQ61" i="162"/>
  <c r="AM61" i="162"/>
  <c r="AI61" i="162"/>
  <c r="AE61" i="162"/>
  <c r="AA61" i="162"/>
  <c r="W61" i="162"/>
  <c r="S61" i="162"/>
  <c r="O61" i="162"/>
  <c r="J61" i="162"/>
  <c r="BW60" i="162"/>
  <c r="BS60" i="162"/>
  <c r="BO60" i="162"/>
  <c r="BK60" i="162"/>
  <c r="BG60" i="162"/>
  <c r="BC60" i="162"/>
  <c r="AY60" i="162"/>
  <c r="AU60" i="162"/>
  <c r="AQ60" i="162"/>
  <c r="AM60" i="162"/>
  <c r="AI60" i="162"/>
  <c r="AE60" i="162"/>
  <c r="AA60" i="162"/>
  <c r="W60" i="162"/>
  <c r="S60" i="162"/>
  <c r="O60" i="162"/>
  <c r="J60" i="162"/>
  <c r="BW59" i="162"/>
  <c r="BS59" i="162"/>
  <c r="BO59" i="162"/>
  <c r="BK59" i="162"/>
  <c r="BG59" i="162"/>
  <c r="BC59" i="162"/>
  <c r="AY59" i="162"/>
  <c r="AU59" i="162"/>
  <c r="AQ59" i="162"/>
  <c r="AM59" i="162"/>
  <c r="AI59" i="162"/>
  <c r="AE59" i="162"/>
  <c r="AA59" i="162"/>
  <c r="W59" i="162"/>
  <c r="S59" i="162"/>
  <c r="O59" i="162"/>
  <c r="J59" i="162"/>
  <c r="BW58" i="162"/>
  <c r="BS58" i="162"/>
  <c r="BO58" i="162"/>
  <c r="BK58" i="162"/>
  <c r="BG58" i="162"/>
  <c r="BC58" i="162"/>
  <c r="AY58" i="162"/>
  <c r="AU58" i="162"/>
  <c r="AQ58" i="162"/>
  <c r="AM58" i="162"/>
  <c r="AI58" i="162"/>
  <c r="AE58" i="162"/>
  <c r="AA58" i="162"/>
  <c r="W58" i="162"/>
  <c r="S58" i="162"/>
  <c r="O58" i="162"/>
  <c r="J58" i="162"/>
  <c r="BW57" i="162"/>
  <c r="BS57" i="162"/>
  <c r="BO57" i="162"/>
  <c r="BK57" i="162"/>
  <c r="BG57" i="162"/>
  <c r="BC57" i="162"/>
  <c r="AY57" i="162"/>
  <c r="AU57" i="162"/>
  <c r="AQ57" i="162"/>
  <c r="AM57" i="162"/>
  <c r="AI57" i="162"/>
  <c r="AE57" i="162"/>
  <c r="AA57" i="162"/>
  <c r="W57" i="162"/>
  <c r="S57" i="162"/>
  <c r="O57" i="162"/>
  <c r="J57" i="162"/>
  <c r="BW56" i="162"/>
  <c r="BS56" i="162"/>
  <c r="BO56" i="162"/>
  <c r="BK56" i="162"/>
  <c r="BG56" i="162"/>
  <c r="BC56" i="162"/>
  <c r="AY56" i="162"/>
  <c r="AU56" i="162"/>
  <c r="AQ56" i="162"/>
  <c r="AM56" i="162"/>
  <c r="AI56" i="162"/>
  <c r="AE56" i="162"/>
  <c r="AA56" i="162"/>
  <c r="W56" i="162"/>
  <c r="S56" i="162"/>
  <c r="O56" i="162"/>
  <c r="J56" i="162"/>
  <c r="BW55" i="162"/>
  <c r="BS55" i="162"/>
  <c r="BO55" i="162"/>
  <c r="BK55" i="162"/>
  <c r="BG55" i="162"/>
  <c r="BC55" i="162"/>
  <c r="AY55" i="162"/>
  <c r="AU55" i="162"/>
  <c r="AQ55" i="162"/>
  <c r="AM55" i="162"/>
  <c r="AI55" i="162"/>
  <c r="AE55" i="162"/>
  <c r="AA55" i="162"/>
  <c r="W55" i="162"/>
  <c r="S55" i="162"/>
  <c r="O55" i="162"/>
  <c r="J55" i="162"/>
  <c r="BW54" i="162"/>
  <c r="BS54" i="162"/>
  <c r="BO54" i="162"/>
  <c r="BK54" i="162"/>
  <c r="BG54" i="162"/>
  <c r="BC54" i="162"/>
  <c r="AY54" i="162"/>
  <c r="AU54" i="162"/>
  <c r="AQ54" i="162"/>
  <c r="AM54" i="162"/>
  <c r="AI54" i="162"/>
  <c r="AE54" i="162"/>
  <c r="AA54" i="162"/>
  <c r="W54" i="162"/>
  <c r="S54" i="162"/>
  <c r="O54" i="162"/>
  <c r="J54" i="162"/>
  <c r="BW53" i="162"/>
  <c r="BS53" i="162"/>
  <c r="BO53" i="162"/>
  <c r="BK53" i="162"/>
  <c r="BG53" i="162"/>
  <c r="BC53" i="162"/>
  <c r="AY53" i="162"/>
  <c r="AU53" i="162"/>
  <c r="AQ53" i="162"/>
  <c r="AM53" i="162"/>
  <c r="AI53" i="162"/>
  <c r="AE53" i="162"/>
  <c r="AA53" i="162"/>
  <c r="W53" i="162"/>
  <c r="S53" i="162"/>
  <c r="O53" i="162"/>
  <c r="J53" i="162"/>
  <c r="BW52" i="162"/>
  <c r="BS52" i="162"/>
  <c r="BO52" i="162"/>
  <c r="BK52" i="162"/>
  <c r="BG52" i="162"/>
  <c r="BC52" i="162"/>
  <c r="AY52" i="162"/>
  <c r="AU52" i="162"/>
  <c r="AQ52" i="162"/>
  <c r="AM52" i="162"/>
  <c r="AI52" i="162"/>
  <c r="AE52" i="162"/>
  <c r="AA52" i="162"/>
  <c r="W52" i="162"/>
  <c r="S52" i="162"/>
  <c r="O52" i="162"/>
  <c r="J52" i="162"/>
  <c r="BW51" i="162"/>
  <c r="BS51" i="162"/>
  <c r="BO51" i="162"/>
  <c r="BK51" i="162"/>
  <c r="BG51" i="162"/>
  <c r="BC51" i="162"/>
  <c r="AY51" i="162"/>
  <c r="AU51" i="162"/>
  <c r="AQ51" i="162"/>
  <c r="AM51" i="162"/>
  <c r="AI51" i="162"/>
  <c r="AE51" i="162"/>
  <c r="AA51" i="162"/>
  <c r="W51" i="162"/>
  <c r="S51" i="162"/>
  <c r="O51" i="162"/>
  <c r="J51" i="162"/>
  <c r="BW50" i="162"/>
  <c r="BS50" i="162"/>
  <c r="BO50" i="162"/>
  <c r="BK50" i="162"/>
  <c r="BG50" i="162"/>
  <c r="BC50" i="162"/>
  <c r="AY50" i="162"/>
  <c r="AU50" i="162"/>
  <c r="AQ50" i="162"/>
  <c r="AM50" i="162"/>
  <c r="AI50" i="162"/>
  <c r="AE50" i="162"/>
  <c r="AA50" i="162"/>
  <c r="W50" i="162"/>
  <c r="S50" i="162"/>
  <c r="O50" i="162"/>
  <c r="J50" i="162"/>
  <c r="BW49" i="162"/>
  <c r="BS49" i="162"/>
  <c r="BO49" i="162"/>
  <c r="BK49" i="162"/>
  <c r="BG49" i="162"/>
  <c r="BC49" i="162"/>
  <c r="AY49" i="162"/>
  <c r="AU49" i="162"/>
  <c r="AQ49" i="162"/>
  <c r="AM49" i="162"/>
  <c r="AI49" i="162"/>
  <c r="AE49" i="162"/>
  <c r="AA49" i="162"/>
  <c r="W49" i="162"/>
  <c r="S49" i="162"/>
  <c r="O49" i="162"/>
  <c r="J49" i="162"/>
  <c r="BW48" i="162"/>
  <c r="BS48" i="162"/>
  <c r="BO48" i="162"/>
  <c r="BK48" i="162"/>
  <c r="BG48" i="162"/>
  <c r="BC48" i="162"/>
  <c r="AY48" i="162"/>
  <c r="AU48" i="162"/>
  <c r="AQ48" i="162"/>
  <c r="AM48" i="162"/>
  <c r="AI48" i="162"/>
  <c r="AE48" i="162"/>
  <c r="AA48" i="162"/>
  <c r="W48" i="162"/>
  <c r="S48" i="162"/>
  <c r="O48" i="162"/>
  <c r="J48" i="162"/>
  <c r="BW47" i="162"/>
  <c r="BS47" i="162"/>
  <c r="BO47" i="162"/>
  <c r="BK47" i="162"/>
  <c r="BG47" i="162"/>
  <c r="BC47" i="162"/>
  <c r="AY47" i="162"/>
  <c r="AU47" i="162"/>
  <c r="AQ47" i="162"/>
  <c r="AM47" i="162"/>
  <c r="AI47" i="162"/>
  <c r="AE47" i="162"/>
  <c r="AA47" i="162"/>
  <c r="W47" i="162"/>
  <c r="S47" i="162"/>
  <c r="O47" i="162"/>
  <c r="J47" i="162"/>
  <c r="BW46" i="162"/>
  <c r="BS46" i="162"/>
  <c r="BO46" i="162"/>
  <c r="BK46" i="162"/>
  <c r="BG46" i="162"/>
  <c r="BC46" i="162"/>
  <c r="AY46" i="162"/>
  <c r="AU46" i="162"/>
  <c r="AQ46" i="162"/>
  <c r="AM46" i="162"/>
  <c r="AI46" i="162"/>
  <c r="AE46" i="162"/>
  <c r="AA46" i="162"/>
  <c r="W46" i="162"/>
  <c r="S46" i="162"/>
  <c r="O46" i="162"/>
  <c r="J46" i="162"/>
  <c r="BW45" i="162"/>
  <c r="BS45" i="162"/>
  <c r="BO45" i="162"/>
  <c r="BK45" i="162"/>
  <c r="BG45" i="162"/>
  <c r="BC45" i="162"/>
  <c r="AY45" i="162"/>
  <c r="AU45" i="162"/>
  <c r="AQ45" i="162"/>
  <c r="AM45" i="162"/>
  <c r="AI45" i="162"/>
  <c r="AE45" i="162"/>
  <c r="AA45" i="162"/>
  <c r="W45" i="162"/>
  <c r="S45" i="162"/>
  <c r="O45" i="162"/>
  <c r="J45" i="162"/>
  <c r="BW44" i="162"/>
  <c r="BS44" i="162"/>
  <c r="BO44" i="162"/>
  <c r="BK44" i="162"/>
  <c r="BG44" i="162"/>
  <c r="BC44" i="162"/>
  <c r="AY44" i="162"/>
  <c r="AU44" i="162"/>
  <c r="AQ44" i="162"/>
  <c r="AM44" i="162"/>
  <c r="AI44" i="162"/>
  <c r="AE44" i="162"/>
  <c r="AA44" i="162"/>
  <c r="W44" i="162"/>
  <c r="S44" i="162"/>
  <c r="O44" i="162"/>
  <c r="J44" i="162"/>
  <c r="BW43" i="162"/>
  <c r="BS43" i="162"/>
  <c r="BO43" i="162"/>
  <c r="BK43" i="162"/>
  <c r="BG43" i="162"/>
  <c r="BC43" i="162"/>
  <c r="AY43" i="162"/>
  <c r="AU43" i="162"/>
  <c r="AQ43" i="162"/>
  <c r="AM43" i="162"/>
  <c r="AI43" i="162"/>
  <c r="AE43" i="162"/>
  <c r="AA43" i="162"/>
  <c r="W43" i="162"/>
  <c r="S43" i="162"/>
  <c r="O43" i="162"/>
  <c r="J43" i="162"/>
  <c r="BW42" i="162"/>
  <c r="BS42" i="162"/>
  <c r="BO42" i="162"/>
  <c r="BK42" i="162"/>
  <c r="BG42" i="162"/>
  <c r="BC42" i="162"/>
  <c r="AY42" i="162"/>
  <c r="AU42" i="162"/>
  <c r="AQ42" i="162"/>
  <c r="AM42" i="162"/>
  <c r="AI42" i="162"/>
  <c r="AE42" i="162"/>
  <c r="AA42" i="162"/>
  <c r="W42" i="162"/>
  <c r="S42" i="162"/>
  <c r="O42" i="162"/>
  <c r="J42" i="162"/>
  <c r="BW41" i="162"/>
  <c r="BS41" i="162"/>
  <c r="BO41" i="162"/>
  <c r="BK41" i="162"/>
  <c r="BG41" i="162"/>
  <c r="BC41" i="162"/>
  <c r="AY41" i="162"/>
  <c r="AU41" i="162"/>
  <c r="AQ41" i="162"/>
  <c r="AM41" i="162"/>
  <c r="AI41" i="162"/>
  <c r="AE41" i="162"/>
  <c r="AA41" i="162"/>
  <c r="W41" i="162"/>
  <c r="S41" i="162"/>
  <c r="O41" i="162"/>
  <c r="J41" i="162"/>
  <c r="BW40" i="162"/>
  <c r="BS40" i="162"/>
  <c r="BO40" i="162"/>
  <c r="BK40" i="162"/>
  <c r="BG40" i="162"/>
  <c r="BC40" i="162"/>
  <c r="AY40" i="162"/>
  <c r="AU40" i="162"/>
  <c r="AQ40" i="162"/>
  <c r="AM40" i="162"/>
  <c r="AI40" i="162"/>
  <c r="AE40" i="162"/>
  <c r="AA40" i="162"/>
  <c r="W40" i="162"/>
  <c r="S40" i="162"/>
  <c r="O40" i="162"/>
  <c r="J40" i="162"/>
  <c r="BW39" i="162"/>
  <c r="BS39" i="162"/>
  <c r="BO39" i="162"/>
  <c r="BK39" i="162"/>
  <c r="BG39" i="162"/>
  <c r="BC39" i="162"/>
  <c r="AY39" i="162"/>
  <c r="AU39" i="162"/>
  <c r="AQ39" i="162"/>
  <c r="AM39" i="162"/>
  <c r="AI39" i="162"/>
  <c r="AE39" i="162"/>
  <c r="AA39" i="162"/>
  <c r="W39" i="162"/>
  <c r="S39" i="162"/>
  <c r="O39" i="162"/>
  <c r="J39" i="162"/>
  <c r="BW38" i="162"/>
  <c r="BS38" i="162"/>
  <c r="BO38" i="162"/>
  <c r="BK38" i="162"/>
  <c r="BG38" i="162"/>
  <c r="BC38" i="162"/>
  <c r="AY38" i="162"/>
  <c r="AU38" i="162"/>
  <c r="AQ38" i="162"/>
  <c r="AM38" i="162"/>
  <c r="AI38" i="162"/>
  <c r="AE38" i="162"/>
  <c r="AA38" i="162"/>
  <c r="W38" i="162"/>
  <c r="S38" i="162"/>
  <c r="O38" i="162"/>
  <c r="J38" i="162"/>
  <c r="BW37" i="162"/>
  <c r="BS37" i="162"/>
  <c r="BO37" i="162"/>
  <c r="BK37" i="162"/>
  <c r="BG37" i="162"/>
  <c r="BC37" i="162"/>
  <c r="AY37" i="162"/>
  <c r="AU37" i="162"/>
  <c r="AQ37" i="162"/>
  <c r="AM37" i="162"/>
  <c r="AI37" i="162"/>
  <c r="AE37" i="162"/>
  <c r="AA37" i="162"/>
  <c r="W37" i="162"/>
  <c r="S37" i="162"/>
  <c r="O37" i="162"/>
  <c r="J37" i="162"/>
  <c r="BW36" i="162"/>
  <c r="BS36" i="162"/>
  <c r="BO36" i="162"/>
  <c r="BK36" i="162"/>
  <c r="BG36" i="162"/>
  <c r="BC36" i="162"/>
  <c r="AY36" i="162"/>
  <c r="AU36" i="162"/>
  <c r="AQ36" i="162"/>
  <c r="AM36" i="162"/>
  <c r="AI36" i="162"/>
  <c r="AE36" i="162"/>
  <c r="AA36" i="162"/>
  <c r="W36" i="162"/>
  <c r="S36" i="162"/>
  <c r="O36" i="162"/>
  <c r="J36" i="162"/>
  <c r="BW35" i="162"/>
  <c r="BS35" i="162"/>
  <c r="BO35" i="162"/>
  <c r="BK35" i="162"/>
  <c r="BG35" i="162"/>
  <c r="BC35" i="162"/>
  <c r="AY35" i="162"/>
  <c r="AU35" i="162"/>
  <c r="AQ35" i="162"/>
  <c r="AM35" i="162"/>
  <c r="AI35" i="162"/>
  <c r="AE35" i="162"/>
  <c r="AA35" i="162"/>
  <c r="W35" i="162"/>
  <c r="S35" i="162"/>
  <c r="O35" i="162"/>
  <c r="J35" i="162"/>
  <c r="BW34" i="162"/>
  <c r="BS34" i="162"/>
  <c r="BO34" i="162"/>
  <c r="BK34" i="162"/>
  <c r="BG34" i="162"/>
  <c r="BC34" i="162"/>
  <c r="AY34" i="162"/>
  <c r="AU34" i="162"/>
  <c r="AQ34" i="162"/>
  <c r="AM34" i="162"/>
  <c r="AI34" i="162"/>
  <c r="AE34" i="162"/>
  <c r="AA34" i="162"/>
  <c r="W34" i="162"/>
  <c r="S34" i="162"/>
  <c r="O34" i="162"/>
  <c r="J34" i="162"/>
  <c r="BW33" i="162"/>
  <c r="BS33" i="162"/>
  <c r="BO33" i="162"/>
  <c r="BK33" i="162"/>
  <c r="BG33" i="162"/>
  <c r="BC33" i="162"/>
  <c r="AY33" i="162"/>
  <c r="AU33" i="162"/>
  <c r="AQ33" i="162"/>
  <c r="AM33" i="162"/>
  <c r="AI33" i="162"/>
  <c r="AE33" i="162"/>
  <c r="AA33" i="162"/>
  <c r="W33" i="162"/>
  <c r="S33" i="162"/>
  <c r="O33" i="162"/>
  <c r="J33" i="162"/>
  <c r="BW32" i="162"/>
  <c r="BS32" i="162"/>
  <c r="BO32" i="162"/>
  <c r="BK32" i="162"/>
  <c r="BG32" i="162"/>
  <c r="BC32" i="162"/>
  <c r="AY32" i="162"/>
  <c r="AU32" i="162"/>
  <c r="AQ32" i="162"/>
  <c r="AM32" i="162"/>
  <c r="AI32" i="162"/>
  <c r="AE32" i="162"/>
  <c r="AA32" i="162"/>
  <c r="W32" i="162"/>
  <c r="S32" i="162"/>
  <c r="O32" i="162"/>
  <c r="J32" i="162"/>
  <c r="BW31" i="162"/>
  <c r="BS31" i="162"/>
  <c r="BO31" i="162"/>
  <c r="BK31" i="162"/>
  <c r="BG31" i="162"/>
  <c r="BC31" i="162"/>
  <c r="AY31" i="162"/>
  <c r="AU31" i="162"/>
  <c r="AQ31" i="162"/>
  <c r="AM31" i="162"/>
  <c r="AI31" i="162"/>
  <c r="AE31" i="162"/>
  <c r="AA31" i="162"/>
  <c r="W31" i="162"/>
  <c r="S31" i="162"/>
  <c r="O31" i="162"/>
  <c r="J31" i="162"/>
  <c r="BW30" i="162"/>
  <c r="BS30" i="162"/>
  <c r="BO30" i="162"/>
  <c r="BK30" i="162"/>
  <c r="BG30" i="162"/>
  <c r="BC30" i="162"/>
  <c r="AY30" i="162"/>
  <c r="AU30" i="162"/>
  <c r="AQ30" i="162"/>
  <c r="AM30" i="162"/>
  <c r="AI30" i="162"/>
  <c r="AE30" i="162"/>
  <c r="AA30" i="162"/>
  <c r="W30" i="162"/>
  <c r="S30" i="162"/>
  <c r="O30" i="162"/>
  <c r="J30" i="162"/>
  <c r="BW29" i="162"/>
  <c r="BS29" i="162"/>
  <c r="BO29" i="162"/>
  <c r="BK29" i="162"/>
  <c r="BG29" i="162"/>
  <c r="BC29" i="162"/>
  <c r="AY29" i="162"/>
  <c r="AU29" i="162"/>
  <c r="AQ29" i="162"/>
  <c r="AM29" i="162"/>
  <c r="AI29" i="162"/>
  <c r="AE29" i="162"/>
  <c r="AA29" i="162"/>
  <c r="W29" i="162"/>
  <c r="S29" i="162"/>
  <c r="O29" i="162"/>
  <c r="J29" i="162"/>
  <c r="BW28" i="162"/>
  <c r="BS28" i="162"/>
  <c r="BO28" i="162"/>
  <c r="BK28" i="162"/>
  <c r="BG28" i="162"/>
  <c r="BC28" i="162"/>
  <c r="AY28" i="162"/>
  <c r="AU28" i="162"/>
  <c r="AQ28" i="162"/>
  <c r="AM28" i="162"/>
  <c r="AI28" i="162"/>
  <c r="AE28" i="162"/>
  <c r="AA28" i="162"/>
  <c r="W28" i="162"/>
  <c r="S28" i="162"/>
  <c r="O28" i="162"/>
  <c r="J28" i="162"/>
  <c r="BW27" i="162"/>
  <c r="BS27" i="162"/>
  <c r="BO27" i="162"/>
  <c r="BK27" i="162"/>
  <c r="BG27" i="162"/>
  <c r="BC27" i="162"/>
  <c r="AY27" i="162"/>
  <c r="AU27" i="162"/>
  <c r="AQ27" i="162"/>
  <c r="AM27" i="162"/>
  <c r="AI27" i="162"/>
  <c r="AE27" i="162"/>
  <c r="AA27" i="162"/>
  <c r="W27" i="162"/>
  <c r="S27" i="162"/>
  <c r="O27" i="162"/>
  <c r="J27" i="162"/>
  <c r="BW26" i="162"/>
  <c r="BS26" i="162"/>
  <c r="BO26" i="162"/>
  <c r="BK26" i="162"/>
  <c r="BG26" i="162"/>
  <c r="BC26" i="162"/>
  <c r="AY26" i="162"/>
  <c r="AU26" i="162"/>
  <c r="AQ26" i="162"/>
  <c r="AM26" i="162"/>
  <c r="AI26" i="162"/>
  <c r="AE26" i="162"/>
  <c r="AA26" i="162"/>
  <c r="W26" i="162"/>
  <c r="S26" i="162"/>
  <c r="O26" i="162"/>
  <c r="J26" i="162"/>
  <c r="BW25" i="162"/>
  <c r="BS25" i="162"/>
  <c r="BO25" i="162"/>
  <c r="BK25" i="162"/>
  <c r="BG25" i="162"/>
  <c r="BC25" i="162"/>
  <c r="AY25" i="162"/>
  <c r="AU25" i="162"/>
  <c r="AQ25" i="162"/>
  <c r="AM25" i="162"/>
  <c r="AI25" i="162"/>
  <c r="AE25" i="162"/>
  <c r="AA25" i="162"/>
  <c r="W25" i="162"/>
  <c r="S25" i="162"/>
  <c r="O25" i="162"/>
  <c r="J25" i="162"/>
  <c r="BW24" i="162"/>
  <c r="BS24" i="162"/>
  <c r="BO24" i="162"/>
  <c r="BK24" i="162"/>
  <c r="BG24" i="162"/>
  <c r="BC24" i="162"/>
  <c r="AY24" i="162"/>
  <c r="AU24" i="162"/>
  <c r="AQ24" i="162"/>
  <c r="AM24" i="162"/>
  <c r="AI24" i="162"/>
  <c r="AE24" i="162"/>
  <c r="AA24" i="162"/>
  <c r="W24" i="162"/>
  <c r="S24" i="162"/>
  <c r="O24" i="162"/>
  <c r="J24" i="162"/>
  <c r="BW23" i="162"/>
  <c r="BS23" i="162"/>
  <c r="BO23" i="162"/>
  <c r="BK23" i="162"/>
  <c r="BG23" i="162"/>
  <c r="BC23" i="162"/>
  <c r="AY23" i="162"/>
  <c r="AU23" i="162"/>
  <c r="AQ23" i="162"/>
  <c r="AM23" i="162"/>
  <c r="AI23" i="162"/>
  <c r="AE23" i="162"/>
  <c r="AA23" i="162"/>
  <c r="W23" i="162"/>
  <c r="S23" i="162"/>
  <c r="O23" i="162"/>
  <c r="J23" i="162"/>
  <c r="BW22" i="162"/>
  <c r="BS22" i="162"/>
  <c r="BO22" i="162"/>
  <c r="BK22" i="162"/>
  <c r="BG22" i="162"/>
  <c r="BC22" i="162"/>
  <c r="AY22" i="162"/>
  <c r="AU22" i="162"/>
  <c r="AQ22" i="162"/>
  <c r="AM22" i="162"/>
  <c r="AI22" i="162"/>
  <c r="AE22" i="162"/>
  <c r="AA22" i="162"/>
  <c r="W22" i="162"/>
  <c r="S22" i="162"/>
  <c r="O22" i="162"/>
  <c r="J22" i="162"/>
  <c r="BW21" i="162"/>
  <c r="BS21" i="162"/>
  <c r="BO21" i="162"/>
  <c r="BK21" i="162"/>
  <c r="BG21" i="162"/>
  <c r="BC21" i="162"/>
  <c r="AY21" i="162"/>
  <c r="AU21" i="162"/>
  <c r="AQ21" i="162"/>
  <c r="AM21" i="162"/>
  <c r="AI21" i="162"/>
  <c r="AE21" i="162"/>
  <c r="AA21" i="162"/>
  <c r="W21" i="162"/>
  <c r="S21" i="162"/>
  <c r="O21" i="162"/>
  <c r="J21" i="162"/>
  <c r="BW20" i="162"/>
  <c r="BS20" i="162"/>
  <c r="BO20" i="162"/>
  <c r="BK20" i="162"/>
  <c r="BG20" i="162"/>
  <c r="BC20" i="162"/>
  <c r="AY20" i="162"/>
  <c r="AU20" i="162"/>
  <c r="AQ20" i="162"/>
  <c r="AM20" i="162"/>
  <c r="AI20" i="162"/>
  <c r="AE20" i="162"/>
  <c r="AA20" i="162"/>
  <c r="W20" i="162"/>
  <c r="S20" i="162"/>
  <c r="O20" i="162"/>
  <c r="J20" i="162"/>
  <c r="BW19" i="162"/>
  <c r="BS19" i="162"/>
  <c r="BO19" i="162"/>
  <c r="BK19" i="162"/>
  <c r="BG19" i="162"/>
  <c r="BC19" i="162"/>
  <c r="AY19" i="162"/>
  <c r="AU19" i="162"/>
  <c r="AQ19" i="162"/>
  <c r="AM19" i="162"/>
  <c r="AI19" i="162"/>
  <c r="AE19" i="162"/>
  <c r="AA19" i="162"/>
  <c r="W19" i="162"/>
  <c r="S19" i="162"/>
  <c r="O19" i="162"/>
  <c r="J19" i="162"/>
  <c r="BW18" i="162"/>
  <c r="BS18" i="162"/>
  <c r="BO18" i="162"/>
  <c r="BK18" i="162"/>
  <c r="BG18" i="162"/>
  <c r="BC18" i="162"/>
  <c r="AY18" i="162"/>
  <c r="AU18" i="162"/>
  <c r="AQ18" i="162"/>
  <c r="AM18" i="162"/>
  <c r="AI18" i="162"/>
  <c r="AE18" i="162"/>
  <c r="AA18" i="162"/>
  <c r="W18" i="162"/>
  <c r="S18" i="162"/>
  <c r="O18" i="162"/>
  <c r="J18" i="162"/>
  <c r="BW17" i="162"/>
  <c r="BS17" i="162"/>
  <c r="BO17" i="162"/>
  <c r="BK17" i="162"/>
  <c r="BG17" i="162"/>
  <c r="BC17" i="162"/>
  <c r="AY17" i="162"/>
  <c r="AU17" i="162"/>
  <c r="AQ17" i="162"/>
  <c r="AM17" i="162"/>
  <c r="AI17" i="162"/>
  <c r="AE17" i="162"/>
  <c r="AA17" i="162"/>
  <c r="W17" i="162"/>
  <c r="S17" i="162"/>
  <c r="O17" i="162"/>
  <c r="J17" i="162"/>
  <c r="BW16" i="162"/>
  <c r="BS16" i="162"/>
  <c r="BO16" i="162"/>
  <c r="BK16" i="162"/>
  <c r="BG16" i="162"/>
  <c r="BC16" i="162"/>
  <c r="AY16" i="162"/>
  <c r="AU16" i="162"/>
  <c r="AQ16" i="162"/>
  <c r="AM16" i="162"/>
  <c r="AI16" i="162"/>
  <c r="AE16" i="162"/>
  <c r="AA16" i="162"/>
  <c r="W16" i="162"/>
  <c r="S16" i="162"/>
  <c r="O16" i="162"/>
  <c r="J16" i="162"/>
  <c r="BW15" i="162"/>
  <c r="BS15" i="162"/>
  <c r="BO15" i="162"/>
  <c r="BK15" i="162"/>
  <c r="BG15" i="162"/>
  <c r="BC15" i="162"/>
  <c r="AY15" i="162"/>
  <c r="AU15" i="162"/>
  <c r="AQ15" i="162"/>
  <c r="AM15" i="162"/>
  <c r="AI15" i="162"/>
  <c r="AE15" i="162"/>
  <c r="AA15" i="162"/>
  <c r="W15" i="162"/>
  <c r="S15" i="162"/>
  <c r="O15" i="162"/>
  <c r="J15" i="162"/>
  <c r="BW14" i="162"/>
  <c r="BS14" i="162"/>
  <c r="BO14" i="162"/>
  <c r="BK14" i="162"/>
  <c r="BG14" i="162"/>
  <c r="BC14" i="162"/>
  <c r="AY14" i="162"/>
  <c r="AU14" i="162"/>
  <c r="AQ14" i="162"/>
  <c r="AM14" i="162"/>
  <c r="AI14" i="162"/>
  <c r="AE14" i="162"/>
  <c r="AA14" i="162"/>
  <c r="W14" i="162"/>
  <c r="S14" i="162"/>
  <c r="O14" i="162"/>
  <c r="J14" i="162"/>
  <c r="BW13" i="162"/>
  <c r="BS13" i="162"/>
  <c r="BO13" i="162"/>
  <c r="BK13" i="162"/>
  <c r="BG13" i="162"/>
  <c r="BC13" i="162"/>
  <c r="AY13" i="162"/>
  <c r="AU13" i="162"/>
  <c r="AQ13" i="162"/>
  <c r="AM13" i="162"/>
  <c r="AI13" i="162"/>
  <c r="AE13" i="162"/>
  <c r="AA13" i="162"/>
  <c r="W13" i="162"/>
  <c r="S13" i="162"/>
  <c r="O13" i="162"/>
  <c r="J13" i="162"/>
  <c r="BW12" i="162"/>
  <c r="BS12" i="162"/>
  <c r="BO12" i="162"/>
  <c r="BK12" i="162"/>
  <c r="BG12" i="162"/>
  <c r="BC12" i="162"/>
  <c r="AY12" i="162"/>
  <c r="AU12" i="162"/>
  <c r="AQ12" i="162"/>
  <c r="AM12" i="162"/>
  <c r="AI12" i="162"/>
  <c r="AE12" i="162"/>
  <c r="AA12" i="162"/>
  <c r="W12" i="162"/>
  <c r="S12" i="162"/>
  <c r="O12" i="162"/>
  <c r="J12" i="162"/>
  <c r="BW11" i="162"/>
  <c r="BS11" i="162"/>
  <c r="BO11" i="162"/>
  <c r="BK11" i="162"/>
  <c r="BG11" i="162"/>
  <c r="BC11" i="162"/>
  <c r="AY11" i="162"/>
  <c r="AU11" i="162"/>
  <c r="AQ11" i="162"/>
  <c r="AM11" i="162"/>
  <c r="AI11" i="162"/>
  <c r="AE11" i="162"/>
  <c r="AA11" i="162"/>
  <c r="W11" i="162"/>
  <c r="S11" i="162"/>
  <c r="O11" i="162"/>
  <c r="J11" i="162"/>
  <c r="BW10" i="162"/>
  <c r="BS10" i="162"/>
  <c r="BO10" i="162"/>
  <c r="BK10" i="162"/>
  <c r="BG10" i="162"/>
  <c r="BC10" i="162"/>
  <c r="AY10" i="162"/>
  <c r="AU10" i="162"/>
  <c r="AQ10" i="162"/>
  <c r="AM10" i="162"/>
  <c r="AI10" i="162"/>
  <c r="AE10" i="162"/>
  <c r="AA10" i="162"/>
  <c r="W10" i="162"/>
  <c r="S10" i="162"/>
  <c r="O10" i="162"/>
  <c r="J10" i="162"/>
  <c r="BW9" i="162"/>
  <c r="BS9" i="162"/>
  <c r="BO9" i="162"/>
  <c r="BK9" i="162"/>
  <c r="BG9" i="162"/>
  <c r="BC9" i="162"/>
  <c r="AY9" i="162"/>
  <c r="AU9" i="162"/>
  <c r="AQ9" i="162"/>
  <c r="AM9" i="162"/>
  <c r="AI9" i="162"/>
  <c r="AE9" i="162"/>
  <c r="AA9" i="162"/>
  <c r="W9" i="162"/>
  <c r="S9" i="162"/>
  <c r="O9" i="162"/>
  <c r="J9" i="162"/>
  <c r="BW8" i="162"/>
  <c r="BS8" i="162"/>
  <c r="BO8" i="162"/>
  <c r="BK8" i="162"/>
  <c r="BG8" i="162"/>
  <c r="BC8" i="162"/>
  <c r="AY8" i="162"/>
  <c r="AU8" i="162"/>
  <c r="AQ8" i="162"/>
  <c r="AM8" i="162"/>
  <c r="AI8" i="162"/>
  <c r="AE8" i="162"/>
  <c r="AA8" i="162"/>
  <c r="W8" i="162"/>
  <c r="S8" i="162"/>
  <c r="O8" i="162"/>
  <c r="J8" i="162"/>
  <c r="BW7" i="162"/>
  <c r="BS7" i="162"/>
  <c r="BO7" i="162"/>
  <c r="BK7" i="162"/>
  <c r="BG7" i="162"/>
  <c r="BC7" i="162"/>
  <c r="AY7" i="162"/>
  <c r="AU7" i="162"/>
  <c r="AQ7" i="162"/>
  <c r="AM7" i="162"/>
  <c r="AI7" i="162"/>
  <c r="AE7" i="162"/>
  <c r="AA7" i="162"/>
  <c r="W7" i="162"/>
  <c r="S7" i="162"/>
  <c r="O7" i="162"/>
  <c r="J7" i="162"/>
  <c r="BR6" i="162"/>
  <c r="BS6" i="162" s="1"/>
  <c r="BQ6" i="162"/>
  <c r="BP6" i="162"/>
  <c r="BL6" i="162"/>
  <c r="BF6" i="162"/>
  <c r="BG6" i="162" s="1"/>
  <c r="BD6" i="162"/>
  <c r="AZ6" i="162"/>
  <c r="AT6" i="162"/>
  <c r="AU6" i="162" s="1"/>
  <c r="AS6" i="162"/>
  <c r="AR6" i="162"/>
  <c r="AN6" i="162"/>
  <c r="AH6" i="162"/>
  <c r="AI6" i="162" s="1"/>
  <c r="AF6" i="162"/>
  <c r="V6" i="162"/>
  <c r="W6" i="162" s="1"/>
  <c r="U6" i="162"/>
  <c r="T6" i="162"/>
  <c r="P6" i="162"/>
  <c r="BT5" i="162"/>
  <c r="BW5" i="162" s="1"/>
  <c r="BP5" i="162"/>
  <c r="BS5" i="162" s="1"/>
  <c r="BH5" i="162"/>
  <c r="BK5" i="162" s="1"/>
  <c r="AV5" i="162"/>
  <c r="AY5" i="162" s="1"/>
  <c r="AR5" i="162"/>
  <c r="AU5" i="162" s="1"/>
  <c r="AJ5" i="162"/>
  <c r="AM5" i="162" s="1"/>
  <c r="X5" i="162"/>
  <c r="AA5" i="162" s="1"/>
  <c r="T5" i="162"/>
  <c r="W5" i="162" s="1"/>
  <c r="L5" i="162"/>
  <c r="O5" i="162" s="1"/>
  <c r="BT4" i="162"/>
  <c r="BS4" i="162"/>
  <c r="BV6" i="162" s="1"/>
  <c r="BW6" i="162" s="1"/>
  <c r="BP4" i="162"/>
  <c r="BO4" i="162"/>
  <c r="BK4" i="162"/>
  <c r="BL4" i="162" s="1"/>
  <c r="BG4" i="162"/>
  <c r="BH4" i="162" s="1"/>
  <c r="BC4" i="162"/>
  <c r="BE6" i="162" s="1"/>
  <c r="AY4" i="162"/>
  <c r="BB6" i="162" s="1"/>
  <c r="BC6" i="162" s="1"/>
  <c r="AV4" i="162"/>
  <c r="AU4" i="162"/>
  <c r="AX6" i="162" s="1"/>
  <c r="AY6" i="162" s="1"/>
  <c r="AR4" i="162"/>
  <c r="AQ4" i="162"/>
  <c r="AM4" i="162"/>
  <c r="AP6" i="162" s="1"/>
  <c r="AQ6" i="162" s="1"/>
  <c r="AI4" i="162"/>
  <c r="AJ4" i="162" s="1"/>
  <c r="AE4" i="162"/>
  <c r="AG6" i="162" s="1"/>
  <c r="AA4" i="162"/>
  <c r="AD6" i="162" s="1"/>
  <c r="AE6" i="162" s="1"/>
  <c r="X4" i="162"/>
  <c r="W4" i="162"/>
  <c r="Z6" i="162" s="1"/>
  <c r="AA6" i="162" s="1"/>
  <c r="T4" i="162"/>
  <c r="S4" i="162"/>
  <c r="O4" i="162"/>
  <c r="P4" i="162" s="1"/>
  <c r="K4" i="162"/>
  <c r="L4" i="162" s="1"/>
  <c r="J4" i="162"/>
  <c r="BT3" i="162"/>
  <c r="BP3" i="162"/>
  <c r="BL3" i="162"/>
  <c r="BH3" i="162"/>
  <c r="BD3" i="162"/>
  <c r="AZ3" i="162"/>
  <c r="AV3" i="162"/>
  <c r="AR3" i="162"/>
  <c r="AN3" i="162"/>
  <c r="AJ3" i="162"/>
  <c r="AF3" i="162"/>
  <c r="AB3" i="162"/>
  <c r="X3" i="162"/>
  <c r="T3" i="162"/>
  <c r="P3" i="162"/>
  <c r="L3" i="162"/>
  <c r="J3" i="162"/>
  <c r="J2" i="162"/>
  <c r="F1" i="162"/>
  <c r="BW82" i="161"/>
  <c r="BS82" i="161"/>
  <c r="BO82" i="161"/>
  <c r="BK82" i="161"/>
  <c r="BG82" i="161"/>
  <c r="BC82" i="161"/>
  <c r="AY82" i="161"/>
  <c r="AU82" i="161"/>
  <c r="AQ82" i="161"/>
  <c r="AM82" i="161"/>
  <c r="AI82" i="161"/>
  <c r="AE82" i="161"/>
  <c r="AA82" i="161"/>
  <c r="W82" i="161"/>
  <c r="S82" i="161"/>
  <c r="O82" i="161"/>
  <c r="J82" i="161"/>
  <c r="BW81" i="161"/>
  <c r="BS81" i="161"/>
  <c r="BO81" i="161"/>
  <c r="BK81" i="161"/>
  <c r="BG81" i="161"/>
  <c r="BC81" i="161"/>
  <c r="AY81" i="161"/>
  <c r="AU81" i="161"/>
  <c r="AQ81" i="161"/>
  <c r="AM81" i="161"/>
  <c r="AI81" i="161"/>
  <c r="AE81" i="161"/>
  <c r="AA81" i="161"/>
  <c r="W81" i="161"/>
  <c r="S81" i="161"/>
  <c r="O81" i="161"/>
  <c r="J81" i="161"/>
  <c r="BW80" i="161"/>
  <c r="BS80" i="161"/>
  <c r="BO80" i="161"/>
  <c r="BK80" i="161"/>
  <c r="BG80" i="161"/>
  <c r="BC80" i="161"/>
  <c r="AY80" i="161"/>
  <c r="AU80" i="161"/>
  <c r="AQ80" i="161"/>
  <c r="AM80" i="161"/>
  <c r="AI80" i="161"/>
  <c r="AE80" i="161"/>
  <c r="AA80" i="161"/>
  <c r="W80" i="161"/>
  <c r="S80" i="161"/>
  <c r="O80" i="161"/>
  <c r="J80" i="161"/>
  <c r="BW79" i="161"/>
  <c r="BS79" i="161"/>
  <c r="BO79" i="161"/>
  <c r="BK79" i="161"/>
  <c r="BG79" i="161"/>
  <c r="BC79" i="161"/>
  <c r="AY79" i="161"/>
  <c r="AU79" i="161"/>
  <c r="AQ79" i="161"/>
  <c r="AM79" i="161"/>
  <c r="AI79" i="161"/>
  <c r="AE79" i="161"/>
  <c r="AA79" i="161"/>
  <c r="W79" i="161"/>
  <c r="S79" i="161"/>
  <c r="O79" i="161"/>
  <c r="J79" i="161"/>
  <c r="BW78" i="161"/>
  <c r="BS78" i="161"/>
  <c r="BO78" i="161"/>
  <c r="BK78" i="161"/>
  <c r="BG78" i="161"/>
  <c r="BC78" i="161"/>
  <c r="AY78" i="161"/>
  <c r="AU78" i="161"/>
  <c r="AQ78" i="161"/>
  <c r="AM78" i="161"/>
  <c r="AI78" i="161"/>
  <c r="AE78" i="161"/>
  <c r="AA78" i="161"/>
  <c r="W78" i="161"/>
  <c r="S78" i="161"/>
  <c r="O78" i="161"/>
  <c r="J78" i="161"/>
  <c r="BW77" i="161"/>
  <c r="BS77" i="161"/>
  <c r="BO77" i="161"/>
  <c r="BK77" i="161"/>
  <c r="BG77" i="161"/>
  <c r="BC77" i="161"/>
  <c r="AY77" i="161"/>
  <c r="AU77" i="161"/>
  <c r="AQ77" i="161"/>
  <c r="AM77" i="161"/>
  <c r="AI77" i="161"/>
  <c r="AE77" i="161"/>
  <c r="AA77" i="161"/>
  <c r="W77" i="161"/>
  <c r="S77" i="161"/>
  <c r="O77" i="161"/>
  <c r="J77" i="161"/>
  <c r="BW76" i="161"/>
  <c r="BS76" i="161"/>
  <c r="BO76" i="161"/>
  <c r="BK76" i="161"/>
  <c r="BG76" i="161"/>
  <c r="BC76" i="161"/>
  <c r="AY76" i="161"/>
  <c r="AU76" i="161"/>
  <c r="AQ76" i="161"/>
  <c r="AM76" i="161"/>
  <c r="AI76" i="161"/>
  <c r="AE76" i="161"/>
  <c r="AA76" i="161"/>
  <c r="W76" i="161"/>
  <c r="S76" i="161"/>
  <c r="O76" i="161"/>
  <c r="J76" i="161"/>
  <c r="BW75" i="161"/>
  <c r="BS75" i="161"/>
  <c r="BO75" i="161"/>
  <c r="BK75" i="161"/>
  <c r="BG75" i="161"/>
  <c r="BC75" i="161"/>
  <c r="AY75" i="161"/>
  <c r="AU75" i="161"/>
  <c r="AQ75" i="161"/>
  <c r="AM75" i="161"/>
  <c r="AI75" i="161"/>
  <c r="AE75" i="161"/>
  <c r="AA75" i="161"/>
  <c r="W75" i="161"/>
  <c r="S75" i="161"/>
  <c r="O75" i="161"/>
  <c r="J75" i="161"/>
  <c r="BW74" i="161"/>
  <c r="BS74" i="161"/>
  <c r="BO74" i="161"/>
  <c r="BK74" i="161"/>
  <c r="BG74" i="161"/>
  <c r="BC74" i="161"/>
  <c r="AY74" i="161"/>
  <c r="AU74" i="161"/>
  <c r="AQ74" i="161"/>
  <c r="AM74" i="161"/>
  <c r="AI74" i="161"/>
  <c r="AE74" i="161"/>
  <c r="AA74" i="161"/>
  <c r="W74" i="161"/>
  <c r="S74" i="161"/>
  <c r="O74" i="161"/>
  <c r="J74" i="161"/>
  <c r="BW73" i="161"/>
  <c r="BS73" i="161"/>
  <c r="BO73" i="161"/>
  <c r="BK73" i="161"/>
  <c r="BG73" i="161"/>
  <c r="BC73" i="161"/>
  <c r="AY73" i="161"/>
  <c r="AU73" i="161"/>
  <c r="AQ73" i="161"/>
  <c r="AM73" i="161"/>
  <c r="AI73" i="161"/>
  <c r="AE73" i="161"/>
  <c r="AA73" i="161"/>
  <c r="W73" i="161"/>
  <c r="S73" i="161"/>
  <c r="O73" i="161"/>
  <c r="J73" i="161"/>
  <c r="BW72" i="161"/>
  <c r="BS72" i="161"/>
  <c r="BO72" i="161"/>
  <c r="BK72" i="161"/>
  <c r="BG72" i="161"/>
  <c r="BC72" i="161"/>
  <c r="AY72" i="161"/>
  <c r="AU72" i="161"/>
  <c r="AQ72" i="161"/>
  <c r="AM72" i="161"/>
  <c r="AI72" i="161"/>
  <c r="AE72" i="161"/>
  <c r="AA72" i="161"/>
  <c r="W72" i="161"/>
  <c r="S72" i="161"/>
  <c r="O72" i="161"/>
  <c r="J72" i="161"/>
  <c r="BW71" i="161"/>
  <c r="BS71" i="161"/>
  <c r="BO71" i="161"/>
  <c r="BK71" i="161"/>
  <c r="BG71" i="161"/>
  <c r="BC71" i="161"/>
  <c r="AY71" i="161"/>
  <c r="AU71" i="161"/>
  <c r="AQ71" i="161"/>
  <c r="AM71" i="161"/>
  <c r="AI71" i="161"/>
  <c r="AE71" i="161"/>
  <c r="AA71" i="161"/>
  <c r="W71" i="161"/>
  <c r="S71" i="161"/>
  <c r="O71" i="161"/>
  <c r="J71" i="161"/>
  <c r="BW70" i="161"/>
  <c r="BS70" i="161"/>
  <c r="BO70" i="161"/>
  <c r="BK70" i="161"/>
  <c r="BG70" i="161"/>
  <c r="BC70" i="161"/>
  <c r="AY70" i="161"/>
  <c r="AU70" i="161"/>
  <c r="AQ70" i="161"/>
  <c r="AM70" i="161"/>
  <c r="AI70" i="161"/>
  <c r="AE70" i="161"/>
  <c r="AA70" i="161"/>
  <c r="W70" i="161"/>
  <c r="S70" i="161"/>
  <c r="O70" i="161"/>
  <c r="J70" i="161"/>
  <c r="BW69" i="161"/>
  <c r="BS69" i="161"/>
  <c r="BO69" i="161"/>
  <c r="BK69" i="161"/>
  <c r="BG69" i="161"/>
  <c r="BC69" i="161"/>
  <c r="AY69" i="161"/>
  <c r="AU69" i="161"/>
  <c r="AQ69" i="161"/>
  <c r="AM69" i="161"/>
  <c r="AI69" i="161"/>
  <c r="AE69" i="161"/>
  <c r="AA69" i="161"/>
  <c r="W69" i="161"/>
  <c r="S69" i="161"/>
  <c r="O69" i="161"/>
  <c r="J69" i="161"/>
  <c r="BW68" i="161"/>
  <c r="BS68" i="161"/>
  <c r="BO68" i="161"/>
  <c r="BK68" i="161"/>
  <c r="BG68" i="161"/>
  <c r="BC68" i="161"/>
  <c r="AY68" i="161"/>
  <c r="AU68" i="161"/>
  <c r="AQ68" i="161"/>
  <c r="AM68" i="161"/>
  <c r="AI68" i="161"/>
  <c r="AE68" i="161"/>
  <c r="AA68" i="161"/>
  <c r="W68" i="161"/>
  <c r="S68" i="161"/>
  <c r="O68" i="161"/>
  <c r="J68" i="161"/>
  <c r="BW67" i="161"/>
  <c r="BS67" i="161"/>
  <c r="BO67" i="161"/>
  <c r="BK67" i="161"/>
  <c r="BG67" i="161"/>
  <c r="BC67" i="161"/>
  <c r="AY67" i="161"/>
  <c r="AU67" i="161"/>
  <c r="AQ67" i="161"/>
  <c r="AM67" i="161"/>
  <c r="AI67" i="161"/>
  <c r="AE67" i="161"/>
  <c r="AA67" i="161"/>
  <c r="W67" i="161"/>
  <c r="S67" i="161"/>
  <c r="O67" i="161"/>
  <c r="J67" i="161"/>
  <c r="BW66" i="161"/>
  <c r="BS66" i="161"/>
  <c r="BO66" i="161"/>
  <c r="BK66" i="161"/>
  <c r="BG66" i="161"/>
  <c r="BC66" i="161"/>
  <c r="AY66" i="161"/>
  <c r="AU66" i="161"/>
  <c r="AQ66" i="161"/>
  <c r="AM66" i="161"/>
  <c r="AI66" i="161"/>
  <c r="AE66" i="161"/>
  <c r="AA66" i="161"/>
  <c r="W66" i="161"/>
  <c r="S66" i="161"/>
  <c r="O66" i="161"/>
  <c r="J66" i="161"/>
  <c r="BW65" i="161"/>
  <c r="BS65" i="161"/>
  <c r="BO65" i="161"/>
  <c r="BK65" i="161"/>
  <c r="BG65" i="161"/>
  <c r="BC65" i="161"/>
  <c r="AY65" i="161"/>
  <c r="AU65" i="161"/>
  <c r="AQ65" i="161"/>
  <c r="AM65" i="161"/>
  <c r="AI65" i="161"/>
  <c r="AE65" i="161"/>
  <c r="AA65" i="161"/>
  <c r="W65" i="161"/>
  <c r="S65" i="161"/>
  <c r="O65" i="161"/>
  <c r="J65" i="161"/>
  <c r="BW64" i="161"/>
  <c r="BS64" i="161"/>
  <c r="BO64" i="161"/>
  <c r="BK64" i="161"/>
  <c r="BG64" i="161"/>
  <c r="BC64" i="161"/>
  <c r="AY64" i="161"/>
  <c r="AU64" i="161"/>
  <c r="AQ64" i="161"/>
  <c r="AM64" i="161"/>
  <c r="AI64" i="161"/>
  <c r="AE64" i="161"/>
  <c r="AA64" i="161"/>
  <c r="W64" i="161"/>
  <c r="S64" i="161"/>
  <c r="O64" i="161"/>
  <c r="J64" i="161"/>
  <c r="BW63" i="161"/>
  <c r="BS63" i="161"/>
  <c r="BO63" i="161"/>
  <c r="BK63" i="161"/>
  <c r="BG63" i="161"/>
  <c r="BC63" i="161"/>
  <c r="AY63" i="161"/>
  <c r="AU63" i="161"/>
  <c r="AQ63" i="161"/>
  <c r="AM63" i="161"/>
  <c r="AI63" i="161"/>
  <c r="AE63" i="161"/>
  <c r="AA63" i="161"/>
  <c r="W63" i="161"/>
  <c r="S63" i="161"/>
  <c r="O63" i="161"/>
  <c r="J63" i="161"/>
  <c r="BW62" i="161"/>
  <c r="BS62" i="161"/>
  <c r="BO62" i="161"/>
  <c r="BK62" i="161"/>
  <c r="BG62" i="161"/>
  <c r="BC62" i="161"/>
  <c r="AY62" i="161"/>
  <c r="AU62" i="161"/>
  <c r="AQ62" i="161"/>
  <c r="AM62" i="161"/>
  <c r="AI62" i="161"/>
  <c r="AE62" i="161"/>
  <c r="AA62" i="161"/>
  <c r="W62" i="161"/>
  <c r="S62" i="161"/>
  <c r="O62" i="161"/>
  <c r="J62" i="161"/>
  <c r="BW61" i="161"/>
  <c r="BS61" i="161"/>
  <c r="BO61" i="161"/>
  <c r="BK61" i="161"/>
  <c r="BG61" i="161"/>
  <c r="BC61" i="161"/>
  <c r="AY61" i="161"/>
  <c r="AU61" i="161"/>
  <c r="AQ61" i="161"/>
  <c r="AM61" i="161"/>
  <c r="AI61" i="161"/>
  <c r="AE61" i="161"/>
  <c r="AA61" i="161"/>
  <c r="W61" i="161"/>
  <c r="S61" i="161"/>
  <c r="O61" i="161"/>
  <c r="J61" i="161"/>
  <c r="BW60" i="161"/>
  <c r="BS60" i="161"/>
  <c r="BO60" i="161"/>
  <c r="BK60" i="161"/>
  <c r="BG60" i="161"/>
  <c r="BC60" i="161"/>
  <c r="AY60" i="161"/>
  <c r="AU60" i="161"/>
  <c r="AQ60" i="161"/>
  <c r="AM60" i="161"/>
  <c r="AI60" i="161"/>
  <c r="AE60" i="161"/>
  <c r="AA60" i="161"/>
  <c r="W60" i="161"/>
  <c r="S60" i="161"/>
  <c r="O60" i="161"/>
  <c r="J60" i="161"/>
  <c r="BW59" i="161"/>
  <c r="BS59" i="161"/>
  <c r="BO59" i="161"/>
  <c r="BK59" i="161"/>
  <c r="BG59" i="161"/>
  <c r="BC59" i="161"/>
  <c r="AY59" i="161"/>
  <c r="AU59" i="161"/>
  <c r="AQ59" i="161"/>
  <c r="AM59" i="161"/>
  <c r="AI59" i="161"/>
  <c r="AE59" i="161"/>
  <c r="AA59" i="161"/>
  <c r="W59" i="161"/>
  <c r="S59" i="161"/>
  <c r="O59" i="161"/>
  <c r="J59" i="161"/>
  <c r="BW58" i="161"/>
  <c r="BS58" i="161"/>
  <c r="BO58" i="161"/>
  <c r="BK58" i="161"/>
  <c r="BG58" i="161"/>
  <c r="BC58" i="161"/>
  <c r="AY58" i="161"/>
  <c r="AU58" i="161"/>
  <c r="AQ58" i="161"/>
  <c r="AM58" i="161"/>
  <c r="AI58" i="161"/>
  <c r="AE58" i="161"/>
  <c r="AA58" i="161"/>
  <c r="W58" i="161"/>
  <c r="S58" i="161"/>
  <c r="O58" i="161"/>
  <c r="J58" i="161"/>
  <c r="BW57" i="161"/>
  <c r="BS57" i="161"/>
  <c r="BO57" i="161"/>
  <c r="BK57" i="161"/>
  <c r="BG57" i="161"/>
  <c r="BC57" i="161"/>
  <c r="AY57" i="161"/>
  <c r="AU57" i="161"/>
  <c r="AQ57" i="161"/>
  <c r="AM57" i="161"/>
  <c r="AI57" i="161"/>
  <c r="AE57" i="161"/>
  <c r="AA57" i="161"/>
  <c r="W57" i="161"/>
  <c r="S57" i="161"/>
  <c r="O57" i="161"/>
  <c r="J57" i="161"/>
  <c r="BW56" i="161"/>
  <c r="BS56" i="161"/>
  <c r="BO56" i="161"/>
  <c r="BK56" i="161"/>
  <c r="BG56" i="161"/>
  <c r="BC56" i="161"/>
  <c r="AY56" i="161"/>
  <c r="AU56" i="161"/>
  <c r="AQ56" i="161"/>
  <c r="AM56" i="161"/>
  <c r="AI56" i="161"/>
  <c r="AE56" i="161"/>
  <c r="AA56" i="161"/>
  <c r="W56" i="161"/>
  <c r="S56" i="161"/>
  <c r="O56" i="161"/>
  <c r="J56" i="161"/>
  <c r="BW55" i="161"/>
  <c r="BS55" i="161"/>
  <c r="BO55" i="161"/>
  <c r="BK55" i="161"/>
  <c r="BG55" i="161"/>
  <c r="BC55" i="161"/>
  <c r="AY55" i="161"/>
  <c r="AU55" i="161"/>
  <c r="AQ55" i="161"/>
  <c r="AM55" i="161"/>
  <c r="AI55" i="161"/>
  <c r="AE55" i="161"/>
  <c r="AA55" i="161"/>
  <c r="W55" i="161"/>
  <c r="S55" i="161"/>
  <c r="O55" i="161"/>
  <c r="J55" i="161"/>
  <c r="BW54" i="161"/>
  <c r="BS54" i="161"/>
  <c r="BO54" i="161"/>
  <c r="BK54" i="161"/>
  <c r="BG54" i="161"/>
  <c r="BC54" i="161"/>
  <c r="AY54" i="161"/>
  <c r="AU54" i="161"/>
  <c r="AQ54" i="161"/>
  <c r="AM54" i="161"/>
  <c r="AI54" i="161"/>
  <c r="AE54" i="161"/>
  <c r="AA54" i="161"/>
  <c r="W54" i="161"/>
  <c r="S54" i="161"/>
  <c r="O54" i="161"/>
  <c r="J54" i="161"/>
  <c r="BW53" i="161"/>
  <c r="BS53" i="161"/>
  <c r="BO53" i="161"/>
  <c r="BK53" i="161"/>
  <c r="BG53" i="161"/>
  <c r="BC53" i="161"/>
  <c r="AY53" i="161"/>
  <c r="AU53" i="161"/>
  <c r="AQ53" i="161"/>
  <c r="AM53" i="161"/>
  <c r="AI53" i="161"/>
  <c r="AE53" i="161"/>
  <c r="AA53" i="161"/>
  <c r="W53" i="161"/>
  <c r="S53" i="161"/>
  <c r="O53" i="161"/>
  <c r="J53" i="161"/>
  <c r="BW52" i="161"/>
  <c r="BS52" i="161"/>
  <c r="BO52" i="161"/>
  <c r="BK52" i="161"/>
  <c r="BG52" i="161"/>
  <c r="BC52" i="161"/>
  <c r="AY52" i="161"/>
  <c r="AU52" i="161"/>
  <c r="AQ52" i="161"/>
  <c r="AM52" i="161"/>
  <c r="AI52" i="161"/>
  <c r="AE52" i="161"/>
  <c r="AA52" i="161"/>
  <c r="W52" i="161"/>
  <c r="S52" i="161"/>
  <c r="O52" i="161"/>
  <c r="J52" i="161"/>
  <c r="BW51" i="161"/>
  <c r="BS51" i="161"/>
  <c r="BO51" i="161"/>
  <c r="BK51" i="161"/>
  <c r="BG51" i="161"/>
  <c r="BC51" i="161"/>
  <c r="AY51" i="161"/>
  <c r="AU51" i="161"/>
  <c r="AQ51" i="161"/>
  <c r="AM51" i="161"/>
  <c r="AI51" i="161"/>
  <c r="AE51" i="161"/>
  <c r="AA51" i="161"/>
  <c r="W51" i="161"/>
  <c r="S51" i="161"/>
  <c r="O51" i="161"/>
  <c r="J51" i="161"/>
  <c r="BW50" i="161"/>
  <c r="BS50" i="161"/>
  <c r="BO50" i="161"/>
  <c r="BK50" i="161"/>
  <c r="BG50" i="161"/>
  <c r="BC50" i="161"/>
  <c r="AY50" i="161"/>
  <c r="AU50" i="161"/>
  <c r="AQ50" i="161"/>
  <c r="AM50" i="161"/>
  <c r="AI50" i="161"/>
  <c r="AE50" i="161"/>
  <c r="AA50" i="161"/>
  <c r="W50" i="161"/>
  <c r="S50" i="161"/>
  <c r="O50" i="161"/>
  <c r="J50" i="161"/>
  <c r="BW49" i="161"/>
  <c r="BS49" i="161"/>
  <c r="BO49" i="161"/>
  <c r="BK49" i="161"/>
  <c r="BG49" i="161"/>
  <c r="BC49" i="161"/>
  <c r="AY49" i="161"/>
  <c r="AU49" i="161"/>
  <c r="AQ49" i="161"/>
  <c r="AM49" i="161"/>
  <c r="AI49" i="161"/>
  <c r="AE49" i="161"/>
  <c r="AA49" i="161"/>
  <c r="W49" i="161"/>
  <c r="S49" i="161"/>
  <c r="O49" i="161"/>
  <c r="J49" i="161"/>
  <c r="BW48" i="161"/>
  <c r="BS48" i="161"/>
  <c r="BO48" i="161"/>
  <c r="BK48" i="161"/>
  <c r="BG48" i="161"/>
  <c r="BC48" i="161"/>
  <c r="AY48" i="161"/>
  <c r="AU48" i="161"/>
  <c r="AQ48" i="161"/>
  <c r="AM48" i="161"/>
  <c r="AI48" i="161"/>
  <c r="AE48" i="161"/>
  <c r="AA48" i="161"/>
  <c r="W48" i="161"/>
  <c r="S48" i="161"/>
  <c r="O48" i="161"/>
  <c r="J48" i="161"/>
  <c r="BW47" i="161"/>
  <c r="BS47" i="161"/>
  <c r="BO47" i="161"/>
  <c r="BK47" i="161"/>
  <c r="BG47" i="161"/>
  <c r="BC47" i="161"/>
  <c r="AY47" i="161"/>
  <c r="AU47" i="161"/>
  <c r="AQ47" i="161"/>
  <c r="AM47" i="161"/>
  <c r="AI47" i="161"/>
  <c r="AE47" i="161"/>
  <c r="AA47" i="161"/>
  <c r="W47" i="161"/>
  <c r="S47" i="161"/>
  <c r="O47" i="161"/>
  <c r="J47" i="161"/>
  <c r="BW46" i="161"/>
  <c r="BS46" i="161"/>
  <c r="BO46" i="161"/>
  <c r="BK46" i="161"/>
  <c r="BG46" i="161"/>
  <c r="BC46" i="161"/>
  <c r="AY46" i="161"/>
  <c r="AU46" i="161"/>
  <c r="AQ46" i="161"/>
  <c r="AM46" i="161"/>
  <c r="AI46" i="161"/>
  <c r="AE46" i="161"/>
  <c r="AA46" i="161"/>
  <c r="W46" i="161"/>
  <c r="S46" i="161"/>
  <c r="O46" i="161"/>
  <c r="J46" i="161"/>
  <c r="BW45" i="161"/>
  <c r="BS45" i="161"/>
  <c r="BO45" i="161"/>
  <c r="BK45" i="161"/>
  <c r="BG45" i="161"/>
  <c r="BC45" i="161"/>
  <c r="AY45" i="161"/>
  <c r="AU45" i="161"/>
  <c r="AQ45" i="161"/>
  <c r="AM45" i="161"/>
  <c r="AI45" i="161"/>
  <c r="AE45" i="161"/>
  <c r="AA45" i="161"/>
  <c r="W45" i="161"/>
  <c r="S45" i="161"/>
  <c r="O45" i="161"/>
  <c r="J45" i="161"/>
  <c r="BW44" i="161"/>
  <c r="BS44" i="161"/>
  <c r="BO44" i="161"/>
  <c r="BK44" i="161"/>
  <c r="BG44" i="161"/>
  <c r="BC44" i="161"/>
  <c r="AY44" i="161"/>
  <c r="AU44" i="161"/>
  <c r="AQ44" i="161"/>
  <c r="AM44" i="161"/>
  <c r="AI44" i="161"/>
  <c r="AE44" i="161"/>
  <c r="AA44" i="161"/>
  <c r="W44" i="161"/>
  <c r="S44" i="161"/>
  <c r="O44" i="161"/>
  <c r="J44" i="161"/>
  <c r="BW43" i="161"/>
  <c r="BS43" i="161"/>
  <c r="BO43" i="161"/>
  <c r="BK43" i="161"/>
  <c r="BG43" i="161"/>
  <c r="BC43" i="161"/>
  <c r="AY43" i="161"/>
  <c r="AU43" i="161"/>
  <c r="AQ43" i="161"/>
  <c r="AM43" i="161"/>
  <c r="AI43" i="161"/>
  <c r="AE43" i="161"/>
  <c r="AA43" i="161"/>
  <c r="W43" i="161"/>
  <c r="S43" i="161"/>
  <c r="O43" i="161"/>
  <c r="J43" i="161"/>
  <c r="BW42" i="161"/>
  <c r="BS42" i="161"/>
  <c r="BO42" i="161"/>
  <c r="BK42" i="161"/>
  <c r="BG42" i="161"/>
  <c r="BC42" i="161"/>
  <c r="AY42" i="161"/>
  <c r="AU42" i="161"/>
  <c r="AQ42" i="161"/>
  <c r="AM42" i="161"/>
  <c r="AI42" i="161"/>
  <c r="AE42" i="161"/>
  <c r="AA42" i="161"/>
  <c r="W42" i="161"/>
  <c r="S42" i="161"/>
  <c r="O42" i="161"/>
  <c r="J42" i="161"/>
  <c r="BW41" i="161"/>
  <c r="BS41" i="161"/>
  <c r="BO41" i="161"/>
  <c r="BK41" i="161"/>
  <c r="BG41" i="161"/>
  <c r="BC41" i="161"/>
  <c r="AY41" i="161"/>
  <c r="AU41" i="161"/>
  <c r="AQ41" i="161"/>
  <c r="AM41" i="161"/>
  <c r="AI41" i="161"/>
  <c r="AE41" i="161"/>
  <c r="AA41" i="161"/>
  <c r="W41" i="161"/>
  <c r="S41" i="161"/>
  <c r="O41" i="161"/>
  <c r="J41" i="161"/>
  <c r="BW40" i="161"/>
  <c r="BS40" i="161"/>
  <c r="BO40" i="161"/>
  <c r="BK40" i="161"/>
  <c r="BG40" i="161"/>
  <c r="BC40" i="161"/>
  <c r="AY40" i="161"/>
  <c r="AU40" i="161"/>
  <c r="AQ40" i="161"/>
  <c r="AM40" i="161"/>
  <c r="AI40" i="161"/>
  <c r="AE40" i="161"/>
  <c r="AA40" i="161"/>
  <c r="W40" i="161"/>
  <c r="S40" i="161"/>
  <c r="O40" i="161"/>
  <c r="J40" i="161"/>
  <c r="BW39" i="161"/>
  <c r="BS39" i="161"/>
  <c r="BO39" i="161"/>
  <c r="BK39" i="161"/>
  <c r="BG39" i="161"/>
  <c r="BC39" i="161"/>
  <c r="AY39" i="161"/>
  <c r="AU39" i="161"/>
  <c r="AQ39" i="161"/>
  <c r="AM39" i="161"/>
  <c r="AI39" i="161"/>
  <c r="AE39" i="161"/>
  <c r="AA39" i="161"/>
  <c r="W39" i="161"/>
  <c r="S39" i="161"/>
  <c r="O39" i="161"/>
  <c r="J39" i="161"/>
  <c r="BW38" i="161"/>
  <c r="BS38" i="161"/>
  <c r="BO38" i="161"/>
  <c r="BK38" i="161"/>
  <c r="BG38" i="161"/>
  <c r="BC38" i="161"/>
  <c r="AY38" i="161"/>
  <c r="AU38" i="161"/>
  <c r="AQ38" i="161"/>
  <c r="AM38" i="161"/>
  <c r="AI38" i="161"/>
  <c r="AE38" i="161"/>
  <c r="AA38" i="161"/>
  <c r="W38" i="161"/>
  <c r="S38" i="161"/>
  <c r="O38" i="161"/>
  <c r="J38" i="161"/>
  <c r="BW37" i="161"/>
  <c r="BS37" i="161"/>
  <c r="BO37" i="161"/>
  <c r="BK37" i="161"/>
  <c r="BG37" i="161"/>
  <c r="BC37" i="161"/>
  <c r="AY37" i="161"/>
  <c r="AU37" i="161"/>
  <c r="AQ37" i="161"/>
  <c r="AM37" i="161"/>
  <c r="AI37" i="161"/>
  <c r="AE37" i="161"/>
  <c r="AA37" i="161"/>
  <c r="W37" i="161"/>
  <c r="S37" i="161"/>
  <c r="O37" i="161"/>
  <c r="J37" i="161"/>
  <c r="BW36" i="161"/>
  <c r="BS36" i="161"/>
  <c r="BO36" i="161"/>
  <c r="BK36" i="161"/>
  <c r="BG36" i="161"/>
  <c r="BC36" i="161"/>
  <c r="AY36" i="161"/>
  <c r="AU36" i="161"/>
  <c r="AQ36" i="161"/>
  <c r="AM36" i="161"/>
  <c r="AI36" i="161"/>
  <c r="AE36" i="161"/>
  <c r="AA36" i="161"/>
  <c r="W36" i="161"/>
  <c r="S36" i="161"/>
  <c r="O36" i="161"/>
  <c r="J36" i="161"/>
  <c r="BW35" i="161"/>
  <c r="BS35" i="161"/>
  <c r="BO35" i="161"/>
  <c r="BK35" i="161"/>
  <c r="BG35" i="161"/>
  <c r="BC35" i="161"/>
  <c r="AY35" i="161"/>
  <c r="AU35" i="161"/>
  <c r="AQ35" i="161"/>
  <c r="AM35" i="161"/>
  <c r="AI35" i="161"/>
  <c r="AE35" i="161"/>
  <c r="AA35" i="161"/>
  <c r="W35" i="161"/>
  <c r="S35" i="161"/>
  <c r="O35" i="161"/>
  <c r="J35" i="161"/>
  <c r="BW34" i="161"/>
  <c r="BS34" i="161"/>
  <c r="BO34" i="161"/>
  <c r="BK34" i="161"/>
  <c r="BG34" i="161"/>
  <c r="BC34" i="161"/>
  <c r="AY34" i="161"/>
  <c r="AU34" i="161"/>
  <c r="AQ34" i="161"/>
  <c r="AM34" i="161"/>
  <c r="AI34" i="161"/>
  <c r="AE34" i="161"/>
  <c r="AA34" i="161"/>
  <c r="W34" i="161"/>
  <c r="S34" i="161"/>
  <c r="O34" i="161"/>
  <c r="J34" i="161"/>
  <c r="BW33" i="161"/>
  <c r="BS33" i="161"/>
  <c r="BO33" i="161"/>
  <c r="BK33" i="161"/>
  <c r="BG33" i="161"/>
  <c r="BC33" i="161"/>
  <c r="AY33" i="161"/>
  <c r="AU33" i="161"/>
  <c r="AQ33" i="161"/>
  <c r="AM33" i="161"/>
  <c r="AI33" i="161"/>
  <c r="AE33" i="161"/>
  <c r="AA33" i="161"/>
  <c r="W33" i="161"/>
  <c r="S33" i="161"/>
  <c r="O33" i="161"/>
  <c r="J33" i="161"/>
  <c r="BW32" i="161"/>
  <c r="BS32" i="161"/>
  <c r="BO32" i="161"/>
  <c r="BK32" i="161"/>
  <c r="BG32" i="161"/>
  <c r="BC32" i="161"/>
  <c r="AY32" i="161"/>
  <c r="AU32" i="161"/>
  <c r="AQ32" i="161"/>
  <c r="AM32" i="161"/>
  <c r="AI32" i="161"/>
  <c r="AE32" i="161"/>
  <c r="AA32" i="161"/>
  <c r="W32" i="161"/>
  <c r="S32" i="161"/>
  <c r="O32" i="161"/>
  <c r="J32" i="161"/>
  <c r="BW31" i="161"/>
  <c r="BS31" i="161"/>
  <c r="BO31" i="161"/>
  <c r="BK31" i="161"/>
  <c r="BG31" i="161"/>
  <c r="BC31" i="161"/>
  <c r="AY31" i="161"/>
  <c r="AU31" i="161"/>
  <c r="AQ31" i="161"/>
  <c r="AM31" i="161"/>
  <c r="AI31" i="161"/>
  <c r="AE31" i="161"/>
  <c r="AA31" i="161"/>
  <c r="W31" i="161"/>
  <c r="S31" i="161"/>
  <c r="O31" i="161"/>
  <c r="J31" i="161"/>
  <c r="BW30" i="161"/>
  <c r="BS30" i="161"/>
  <c r="BO30" i="161"/>
  <c r="BK30" i="161"/>
  <c r="BG30" i="161"/>
  <c r="BC30" i="161"/>
  <c r="AY30" i="161"/>
  <c r="AU30" i="161"/>
  <c r="AQ30" i="161"/>
  <c r="AM30" i="161"/>
  <c r="AI30" i="161"/>
  <c r="AE30" i="161"/>
  <c r="AA30" i="161"/>
  <c r="W30" i="161"/>
  <c r="S30" i="161"/>
  <c r="O30" i="161"/>
  <c r="J30" i="161"/>
  <c r="BW29" i="161"/>
  <c r="BS29" i="161"/>
  <c r="BO29" i="161"/>
  <c r="BK29" i="161"/>
  <c r="BG29" i="161"/>
  <c r="BC29" i="161"/>
  <c r="AY29" i="161"/>
  <c r="AU29" i="161"/>
  <c r="AQ29" i="161"/>
  <c r="AM29" i="161"/>
  <c r="AI29" i="161"/>
  <c r="AE29" i="161"/>
  <c r="AA29" i="161"/>
  <c r="W29" i="161"/>
  <c r="S29" i="161"/>
  <c r="O29" i="161"/>
  <c r="J29" i="161"/>
  <c r="BW28" i="161"/>
  <c r="BS28" i="161"/>
  <c r="BO28" i="161"/>
  <c r="BK28" i="161"/>
  <c r="BG28" i="161"/>
  <c r="BC28" i="161"/>
  <c r="AY28" i="161"/>
  <c r="AU28" i="161"/>
  <c r="AQ28" i="161"/>
  <c r="AM28" i="161"/>
  <c r="AI28" i="161"/>
  <c r="AE28" i="161"/>
  <c r="AA28" i="161"/>
  <c r="W28" i="161"/>
  <c r="S28" i="161"/>
  <c r="O28" i="161"/>
  <c r="J28" i="161"/>
  <c r="BW27" i="161"/>
  <c r="BS27" i="161"/>
  <c r="BO27" i="161"/>
  <c r="BK27" i="161"/>
  <c r="BG27" i="161"/>
  <c r="BC27" i="161"/>
  <c r="AY27" i="161"/>
  <c r="AU27" i="161"/>
  <c r="AQ27" i="161"/>
  <c r="AM27" i="161"/>
  <c r="AI27" i="161"/>
  <c r="AE27" i="161"/>
  <c r="AA27" i="161"/>
  <c r="W27" i="161"/>
  <c r="S27" i="161"/>
  <c r="O27" i="161"/>
  <c r="J27" i="161"/>
  <c r="BW26" i="161"/>
  <c r="BS26" i="161"/>
  <c r="BO26" i="161"/>
  <c r="BK26" i="161"/>
  <c r="BG26" i="161"/>
  <c r="BC26" i="161"/>
  <c r="AY26" i="161"/>
  <c r="AU26" i="161"/>
  <c r="AQ26" i="161"/>
  <c r="AM26" i="161"/>
  <c r="AI26" i="161"/>
  <c r="AE26" i="161"/>
  <c r="AA26" i="161"/>
  <c r="W26" i="161"/>
  <c r="S26" i="161"/>
  <c r="O26" i="161"/>
  <c r="J26" i="161"/>
  <c r="BW25" i="161"/>
  <c r="BS25" i="161"/>
  <c r="BO25" i="161"/>
  <c r="BK25" i="161"/>
  <c r="BG25" i="161"/>
  <c r="BC25" i="161"/>
  <c r="AY25" i="161"/>
  <c r="AU25" i="161"/>
  <c r="AQ25" i="161"/>
  <c r="AM25" i="161"/>
  <c r="AI25" i="161"/>
  <c r="AE25" i="161"/>
  <c r="AA25" i="161"/>
  <c r="W25" i="161"/>
  <c r="S25" i="161"/>
  <c r="O25" i="161"/>
  <c r="J25" i="161"/>
  <c r="BW24" i="161"/>
  <c r="BS24" i="161"/>
  <c r="BO24" i="161"/>
  <c r="BK24" i="161"/>
  <c r="BG24" i="161"/>
  <c r="BC24" i="161"/>
  <c r="AY24" i="161"/>
  <c r="AU24" i="161"/>
  <c r="AQ24" i="161"/>
  <c r="AM24" i="161"/>
  <c r="AI24" i="161"/>
  <c r="AE24" i="161"/>
  <c r="AA24" i="161"/>
  <c r="W24" i="161"/>
  <c r="S24" i="161"/>
  <c r="O24" i="161"/>
  <c r="J24" i="161"/>
  <c r="BW23" i="161"/>
  <c r="BS23" i="161"/>
  <c r="BO23" i="161"/>
  <c r="BK23" i="161"/>
  <c r="BG23" i="161"/>
  <c r="BC23" i="161"/>
  <c r="AY23" i="161"/>
  <c r="AU23" i="161"/>
  <c r="AQ23" i="161"/>
  <c r="AM23" i="161"/>
  <c r="AI23" i="161"/>
  <c r="AE23" i="161"/>
  <c r="AA23" i="161"/>
  <c r="W23" i="161"/>
  <c r="S23" i="161"/>
  <c r="O23" i="161"/>
  <c r="J23" i="161"/>
  <c r="BW22" i="161"/>
  <c r="BS22" i="161"/>
  <c r="BO22" i="161"/>
  <c r="BK22" i="161"/>
  <c r="BG22" i="161"/>
  <c r="BC22" i="161"/>
  <c r="AY22" i="161"/>
  <c r="AU22" i="161"/>
  <c r="AQ22" i="161"/>
  <c r="AM22" i="161"/>
  <c r="AI22" i="161"/>
  <c r="AE22" i="161"/>
  <c r="AA22" i="161"/>
  <c r="W22" i="161"/>
  <c r="S22" i="161"/>
  <c r="O22" i="161"/>
  <c r="J22" i="161"/>
  <c r="BW21" i="161"/>
  <c r="BS21" i="161"/>
  <c r="BO21" i="161"/>
  <c r="BK21" i="161"/>
  <c r="BG21" i="161"/>
  <c r="BC21" i="161"/>
  <c r="AY21" i="161"/>
  <c r="AU21" i="161"/>
  <c r="AQ21" i="161"/>
  <c r="AM21" i="161"/>
  <c r="AI21" i="161"/>
  <c r="AE21" i="161"/>
  <c r="AA21" i="161"/>
  <c r="W21" i="161"/>
  <c r="S21" i="161"/>
  <c r="O21" i="161"/>
  <c r="J21" i="161"/>
  <c r="BW20" i="161"/>
  <c r="BS20" i="161"/>
  <c r="BO20" i="161"/>
  <c r="BK20" i="161"/>
  <c r="BG20" i="161"/>
  <c r="BC20" i="161"/>
  <c r="AY20" i="161"/>
  <c r="AU20" i="161"/>
  <c r="AQ20" i="161"/>
  <c r="AM20" i="161"/>
  <c r="AI20" i="161"/>
  <c r="AE20" i="161"/>
  <c r="AA20" i="161"/>
  <c r="W20" i="161"/>
  <c r="S20" i="161"/>
  <c r="O20" i="161"/>
  <c r="J20" i="161"/>
  <c r="BW19" i="161"/>
  <c r="BS19" i="161"/>
  <c r="BO19" i="161"/>
  <c r="BK19" i="161"/>
  <c r="BG19" i="161"/>
  <c r="BC19" i="161"/>
  <c r="AY19" i="161"/>
  <c r="AU19" i="161"/>
  <c r="AQ19" i="161"/>
  <c r="AM19" i="161"/>
  <c r="AI19" i="161"/>
  <c r="AE19" i="161"/>
  <c r="AA19" i="161"/>
  <c r="W19" i="161"/>
  <c r="S19" i="161"/>
  <c r="O19" i="161"/>
  <c r="J19" i="161"/>
  <c r="BW18" i="161"/>
  <c r="BS18" i="161"/>
  <c r="BO18" i="161"/>
  <c r="BK18" i="161"/>
  <c r="BG18" i="161"/>
  <c r="BC18" i="161"/>
  <c r="AY18" i="161"/>
  <c r="AU18" i="161"/>
  <c r="AQ18" i="161"/>
  <c r="AM18" i="161"/>
  <c r="AI18" i="161"/>
  <c r="AE18" i="161"/>
  <c r="AA18" i="161"/>
  <c r="W18" i="161"/>
  <c r="S18" i="161"/>
  <c r="O18" i="161"/>
  <c r="J18" i="161"/>
  <c r="BW17" i="161"/>
  <c r="BS17" i="161"/>
  <c r="BO17" i="161"/>
  <c r="BK17" i="161"/>
  <c r="BG17" i="161"/>
  <c r="BC17" i="161"/>
  <c r="AY17" i="161"/>
  <c r="AU17" i="161"/>
  <c r="AQ17" i="161"/>
  <c r="AM17" i="161"/>
  <c r="AI17" i="161"/>
  <c r="AE17" i="161"/>
  <c r="AA17" i="161"/>
  <c r="W17" i="161"/>
  <c r="S17" i="161"/>
  <c r="O17" i="161"/>
  <c r="J17" i="161"/>
  <c r="BW16" i="161"/>
  <c r="BS16" i="161"/>
  <c r="BO16" i="161"/>
  <c r="BK16" i="161"/>
  <c r="BG16" i="161"/>
  <c r="BC16" i="161"/>
  <c r="AY16" i="161"/>
  <c r="AU16" i="161"/>
  <c r="AQ16" i="161"/>
  <c r="AM16" i="161"/>
  <c r="AI16" i="161"/>
  <c r="AE16" i="161"/>
  <c r="AA16" i="161"/>
  <c r="W16" i="161"/>
  <c r="S16" i="161"/>
  <c r="O16" i="161"/>
  <c r="J16" i="161"/>
  <c r="BW15" i="161"/>
  <c r="BS15" i="161"/>
  <c r="BO15" i="161"/>
  <c r="BK15" i="161"/>
  <c r="BG15" i="161"/>
  <c r="BC15" i="161"/>
  <c r="AY15" i="161"/>
  <c r="AU15" i="161"/>
  <c r="AQ15" i="161"/>
  <c r="AM15" i="161"/>
  <c r="AI15" i="161"/>
  <c r="AE15" i="161"/>
  <c r="AA15" i="161"/>
  <c r="W15" i="161"/>
  <c r="S15" i="161"/>
  <c r="O15" i="161"/>
  <c r="J15" i="161"/>
  <c r="BW14" i="161"/>
  <c r="BS14" i="161"/>
  <c r="BO14" i="161"/>
  <c r="BK14" i="161"/>
  <c r="BG14" i="161"/>
  <c r="BC14" i="161"/>
  <c r="AY14" i="161"/>
  <c r="AU14" i="161"/>
  <c r="AQ14" i="161"/>
  <c r="AM14" i="161"/>
  <c r="AI14" i="161"/>
  <c r="AE14" i="161"/>
  <c r="AA14" i="161"/>
  <c r="W14" i="161"/>
  <c r="S14" i="161"/>
  <c r="O14" i="161"/>
  <c r="J14" i="161"/>
  <c r="BW13" i="161"/>
  <c r="BS13" i="161"/>
  <c r="BO13" i="161"/>
  <c r="BK13" i="161"/>
  <c r="BG13" i="161"/>
  <c r="BC13" i="161"/>
  <c r="AY13" i="161"/>
  <c r="AU13" i="161"/>
  <c r="AQ13" i="161"/>
  <c r="AM13" i="161"/>
  <c r="AI13" i="161"/>
  <c r="AE13" i="161"/>
  <c r="AA13" i="161"/>
  <c r="W13" i="161"/>
  <c r="S13" i="161"/>
  <c r="O13" i="161"/>
  <c r="J13" i="161"/>
  <c r="BW12" i="161"/>
  <c r="BS12" i="161"/>
  <c r="BO12" i="161"/>
  <c r="BK12" i="161"/>
  <c r="BG12" i="161"/>
  <c r="BC12" i="161"/>
  <c r="AY12" i="161"/>
  <c r="AU12" i="161"/>
  <c r="AQ12" i="161"/>
  <c r="AM12" i="161"/>
  <c r="AI12" i="161"/>
  <c r="AE12" i="161"/>
  <c r="AA12" i="161"/>
  <c r="W12" i="161"/>
  <c r="S12" i="161"/>
  <c r="O12" i="161"/>
  <c r="J12" i="161"/>
  <c r="BW11" i="161"/>
  <c r="BS11" i="161"/>
  <c r="BO11" i="161"/>
  <c r="BK11" i="161"/>
  <c r="BG11" i="161"/>
  <c r="BC11" i="161"/>
  <c r="AY11" i="161"/>
  <c r="AU11" i="161"/>
  <c r="AQ11" i="161"/>
  <c r="AM11" i="161"/>
  <c r="AI11" i="161"/>
  <c r="AE11" i="161"/>
  <c r="AA11" i="161"/>
  <c r="W11" i="161"/>
  <c r="S11" i="161"/>
  <c r="O11" i="161"/>
  <c r="J11" i="161"/>
  <c r="BW10" i="161"/>
  <c r="BS10" i="161"/>
  <c r="BO10" i="161"/>
  <c r="BK10" i="161"/>
  <c r="BG10" i="161"/>
  <c r="BC10" i="161"/>
  <c r="AY10" i="161"/>
  <c r="AU10" i="161"/>
  <c r="AQ10" i="161"/>
  <c r="AM10" i="161"/>
  <c r="AI10" i="161"/>
  <c r="AE10" i="161"/>
  <c r="AA10" i="161"/>
  <c r="W10" i="161"/>
  <c r="S10" i="161"/>
  <c r="O10" i="161"/>
  <c r="J10" i="161"/>
  <c r="BW9" i="161"/>
  <c r="BS9" i="161"/>
  <c r="BO9" i="161"/>
  <c r="BK9" i="161"/>
  <c r="BG9" i="161"/>
  <c r="BC9" i="161"/>
  <c r="AY9" i="161"/>
  <c r="AU9" i="161"/>
  <c r="AQ9" i="161"/>
  <c r="AM9" i="161"/>
  <c r="AI9" i="161"/>
  <c r="AE9" i="161"/>
  <c r="AA9" i="161"/>
  <c r="W9" i="161"/>
  <c r="S9" i="161"/>
  <c r="O9" i="161"/>
  <c r="J9" i="161"/>
  <c r="BW8" i="161"/>
  <c r="BS8" i="161"/>
  <c r="BO8" i="161"/>
  <c r="BK8" i="161"/>
  <c r="BG8" i="161"/>
  <c r="BC8" i="161"/>
  <c r="AY8" i="161"/>
  <c r="AU8" i="161"/>
  <c r="AQ8" i="161"/>
  <c r="AM8" i="161"/>
  <c r="AI8" i="161"/>
  <c r="AE8" i="161"/>
  <c r="AA8" i="161"/>
  <c r="W8" i="161"/>
  <c r="S8" i="161"/>
  <c r="O8" i="161"/>
  <c r="J8" i="161"/>
  <c r="BW7" i="161"/>
  <c r="BS7" i="161"/>
  <c r="BO7" i="161"/>
  <c r="BK7" i="161"/>
  <c r="BG7" i="161"/>
  <c r="BC7" i="161"/>
  <c r="AY7" i="161"/>
  <c r="AU7" i="161"/>
  <c r="AQ7" i="161"/>
  <c r="AM7" i="161"/>
  <c r="AI7" i="161"/>
  <c r="AE7" i="161"/>
  <c r="AA7" i="161"/>
  <c r="W7" i="161"/>
  <c r="S7" i="161"/>
  <c r="O7" i="161"/>
  <c r="J7" i="161"/>
  <c r="BU6" i="161"/>
  <c r="BT6" i="161"/>
  <c r="BN6" i="161"/>
  <c r="BO6" i="161" s="1"/>
  <c r="BM6" i="161"/>
  <c r="BL6" i="161"/>
  <c r="BH6" i="161"/>
  <c r="AW6" i="161"/>
  <c r="AV6" i="161"/>
  <c r="AP6" i="161"/>
  <c r="AQ6" i="161" s="1"/>
  <c r="AO6" i="161"/>
  <c r="AN6" i="161"/>
  <c r="AJ6" i="161"/>
  <c r="Y6" i="161"/>
  <c r="X6" i="161"/>
  <c r="R6" i="161"/>
  <c r="S6" i="161" s="1"/>
  <c r="Q6" i="161"/>
  <c r="P6" i="161"/>
  <c r="L6" i="161"/>
  <c r="BT5" i="161"/>
  <c r="BW5" i="161" s="1"/>
  <c r="BL5" i="161"/>
  <c r="BO5" i="161" s="1"/>
  <c r="BH5" i="161"/>
  <c r="BK5" i="161" s="1"/>
  <c r="AV5" i="161"/>
  <c r="AY5" i="161" s="1"/>
  <c r="AN5" i="161"/>
  <c r="AQ5" i="161" s="1"/>
  <c r="AJ5" i="161"/>
  <c r="AM5" i="161" s="1"/>
  <c r="X5" i="161"/>
  <c r="AA5" i="161" s="1"/>
  <c r="P5" i="161"/>
  <c r="S5" i="161" s="1"/>
  <c r="L5" i="161"/>
  <c r="O5" i="161" s="1"/>
  <c r="BT4" i="161"/>
  <c r="BS4" i="161"/>
  <c r="BV6" i="161" s="1"/>
  <c r="BW6" i="161" s="1"/>
  <c r="BO4" i="161"/>
  <c r="BR6" i="161" s="1"/>
  <c r="BS6" i="161" s="1"/>
  <c r="BK4" i="161"/>
  <c r="BL4" i="161" s="1"/>
  <c r="BH4" i="161"/>
  <c r="BG4" i="161"/>
  <c r="BJ6" i="161" s="1"/>
  <c r="BK6" i="161" s="1"/>
  <c r="BC4" i="161"/>
  <c r="BF6" i="161" s="1"/>
  <c r="BG6" i="161" s="1"/>
  <c r="AY4" i="161"/>
  <c r="AZ4" i="161" s="1"/>
  <c r="AV4" i="161"/>
  <c r="AU4" i="161"/>
  <c r="AX6" i="161" s="1"/>
  <c r="AY6" i="161" s="1"/>
  <c r="AQ4" i="161"/>
  <c r="AT6" i="161" s="1"/>
  <c r="AU6" i="161" s="1"/>
  <c r="AM4" i="161"/>
  <c r="AN4" i="161" s="1"/>
  <c r="AJ4" i="161"/>
  <c r="AI4" i="161"/>
  <c r="AL6" i="161" s="1"/>
  <c r="AM6" i="161" s="1"/>
  <c r="AE4" i="161"/>
  <c r="AH6" i="161" s="1"/>
  <c r="AI6" i="161" s="1"/>
  <c r="AA4" i="161"/>
  <c r="AB4" i="161" s="1"/>
  <c r="X4" i="161"/>
  <c r="W4" i="161"/>
  <c r="Z6" i="161" s="1"/>
  <c r="AA6" i="161" s="1"/>
  <c r="S4" i="161"/>
  <c r="V6" i="161" s="1"/>
  <c r="W6" i="161" s="1"/>
  <c r="O4" i="161"/>
  <c r="P4" i="161" s="1"/>
  <c r="L4" i="161"/>
  <c r="K4" i="161"/>
  <c r="N6" i="161" s="1"/>
  <c r="O6" i="161" s="1"/>
  <c r="J4" i="161"/>
  <c r="BT3" i="161"/>
  <c r="BP3" i="161"/>
  <c r="BL3" i="161"/>
  <c r="BH3" i="161"/>
  <c r="BD3" i="161"/>
  <c r="AZ3" i="161"/>
  <c r="AV3" i="161"/>
  <c r="AR3" i="161"/>
  <c r="AN3" i="161"/>
  <c r="AJ3" i="161"/>
  <c r="AF3" i="161"/>
  <c r="AB3" i="161"/>
  <c r="X3" i="161"/>
  <c r="T3" i="161"/>
  <c r="P3" i="161"/>
  <c r="L3" i="161"/>
  <c r="J3" i="161"/>
  <c r="J2" i="161"/>
  <c r="F1" i="161"/>
  <c r="BW82" i="160"/>
  <c r="BS82" i="160"/>
  <c r="BO82" i="160"/>
  <c r="BK82" i="160"/>
  <c r="BG82" i="160"/>
  <c r="BC82" i="160"/>
  <c r="AY82" i="160"/>
  <c r="AU82" i="160"/>
  <c r="AQ82" i="160"/>
  <c r="AM82" i="160"/>
  <c r="AI82" i="160"/>
  <c r="AE82" i="160"/>
  <c r="AA82" i="160"/>
  <c r="W82" i="160"/>
  <c r="S82" i="160"/>
  <c r="O82" i="160"/>
  <c r="J82" i="160"/>
  <c r="BW81" i="160"/>
  <c r="BS81" i="160"/>
  <c r="BO81" i="160"/>
  <c r="BK81" i="160"/>
  <c r="BG81" i="160"/>
  <c r="BC81" i="160"/>
  <c r="AY81" i="160"/>
  <c r="AU81" i="160"/>
  <c r="AQ81" i="160"/>
  <c r="AM81" i="160"/>
  <c r="AI81" i="160"/>
  <c r="AE81" i="160"/>
  <c r="AA81" i="160"/>
  <c r="W81" i="160"/>
  <c r="S81" i="160"/>
  <c r="O81" i="160"/>
  <c r="J81" i="160"/>
  <c r="BW80" i="160"/>
  <c r="BS80" i="160"/>
  <c r="BO80" i="160"/>
  <c r="BK80" i="160"/>
  <c r="BG80" i="160"/>
  <c r="BC80" i="160"/>
  <c r="AY80" i="160"/>
  <c r="AU80" i="160"/>
  <c r="AQ80" i="160"/>
  <c r="AM80" i="160"/>
  <c r="AI80" i="160"/>
  <c r="AE80" i="160"/>
  <c r="AA80" i="160"/>
  <c r="W80" i="160"/>
  <c r="S80" i="160"/>
  <c r="O80" i="160"/>
  <c r="J80" i="160"/>
  <c r="BW79" i="160"/>
  <c r="BS79" i="160"/>
  <c r="BO79" i="160"/>
  <c r="BK79" i="160"/>
  <c r="BG79" i="160"/>
  <c r="BC79" i="160"/>
  <c r="AY79" i="160"/>
  <c r="AU79" i="160"/>
  <c r="AQ79" i="160"/>
  <c r="AM79" i="160"/>
  <c r="AI79" i="160"/>
  <c r="AE79" i="160"/>
  <c r="AA79" i="160"/>
  <c r="W79" i="160"/>
  <c r="S79" i="160"/>
  <c r="O79" i="160"/>
  <c r="J79" i="160"/>
  <c r="BW78" i="160"/>
  <c r="BS78" i="160"/>
  <c r="BO78" i="160"/>
  <c r="BK78" i="160"/>
  <c r="BG78" i="160"/>
  <c r="BC78" i="160"/>
  <c r="AY78" i="160"/>
  <c r="AU78" i="160"/>
  <c r="AQ78" i="160"/>
  <c r="AM78" i="160"/>
  <c r="AI78" i="160"/>
  <c r="AE78" i="160"/>
  <c r="AA78" i="160"/>
  <c r="W78" i="160"/>
  <c r="S78" i="160"/>
  <c r="O78" i="160"/>
  <c r="J78" i="160"/>
  <c r="BW77" i="160"/>
  <c r="BS77" i="160"/>
  <c r="BO77" i="160"/>
  <c r="BK77" i="160"/>
  <c r="BG77" i="160"/>
  <c r="BC77" i="160"/>
  <c r="AY77" i="160"/>
  <c r="AU77" i="160"/>
  <c r="AQ77" i="160"/>
  <c r="AM77" i="160"/>
  <c r="AI77" i="160"/>
  <c r="AE77" i="160"/>
  <c r="AA77" i="160"/>
  <c r="W77" i="160"/>
  <c r="S77" i="160"/>
  <c r="O77" i="160"/>
  <c r="J77" i="160"/>
  <c r="BW76" i="160"/>
  <c r="BS76" i="160"/>
  <c r="BO76" i="160"/>
  <c r="BK76" i="160"/>
  <c r="BG76" i="160"/>
  <c r="BC76" i="160"/>
  <c r="AY76" i="160"/>
  <c r="AU76" i="160"/>
  <c r="AQ76" i="160"/>
  <c r="AM76" i="160"/>
  <c r="AI76" i="160"/>
  <c r="AE76" i="160"/>
  <c r="AA76" i="160"/>
  <c r="W76" i="160"/>
  <c r="S76" i="160"/>
  <c r="O76" i="160"/>
  <c r="J76" i="160"/>
  <c r="BW75" i="160"/>
  <c r="BS75" i="160"/>
  <c r="BO75" i="160"/>
  <c r="BK75" i="160"/>
  <c r="BG75" i="160"/>
  <c r="BC75" i="160"/>
  <c r="AY75" i="160"/>
  <c r="AU75" i="160"/>
  <c r="AQ75" i="160"/>
  <c r="AM75" i="160"/>
  <c r="AI75" i="160"/>
  <c r="AE75" i="160"/>
  <c r="AA75" i="160"/>
  <c r="W75" i="160"/>
  <c r="S75" i="160"/>
  <c r="O75" i="160"/>
  <c r="J75" i="160"/>
  <c r="BW74" i="160"/>
  <c r="BS74" i="160"/>
  <c r="BO74" i="160"/>
  <c r="BK74" i="160"/>
  <c r="BG74" i="160"/>
  <c r="BC74" i="160"/>
  <c r="AY74" i="160"/>
  <c r="AU74" i="160"/>
  <c r="AQ74" i="160"/>
  <c r="AM74" i="160"/>
  <c r="AI74" i="160"/>
  <c r="AE74" i="160"/>
  <c r="AA74" i="160"/>
  <c r="W74" i="160"/>
  <c r="S74" i="160"/>
  <c r="O74" i="160"/>
  <c r="J74" i="160"/>
  <c r="BW73" i="160"/>
  <c r="BS73" i="160"/>
  <c r="BO73" i="160"/>
  <c r="BK73" i="160"/>
  <c r="BG73" i="160"/>
  <c r="BC73" i="160"/>
  <c r="AY73" i="160"/>
  <c r="AU73" i="160"/>
  <c r="AQ73" i="160"/>
  <c r="AM73" i="160"/>
  <c r="AI73" i="160"/>
  <c r="AE73" i="160"/>
  <c r="AA73" i="160"/>
  <c r="W73" i="160"/>
  <c r="S73" i="160"/>
  <c r="O73" i="160"/>
  <c r="J73" i="160"/>
  <c r="BW72" i="160"/>
  <c r="BS72" i="160"/>
  <c r="BO72" i="160"/>
  <c r="BK72" i="160"/>
  <c r="BG72" i="160"/>
  <c r="BC72" i="160"/>
  <c r="AY72" i="160"/>
  <c r="AU72" i="160"/>
  <c r="AQ72" i="160"/>
  <c r="AM72" i="160"/>
  <c r="AI72" i="160"/>
  <c r="AE72" i="160"/>
  <c r="AA72" i="160"/>
  <c r="W72" i="160"/>
  <c r="S72" i="160"/>
  <c r="O72" i="160"/>
  <c r="J72" i="160"/>
  <c r="BW71" i="160"/>
  <c r="BS71" i="160"/>
  <c r="BO71" i="160"/>
  <c r="BK71" i="160"/>
  <c r="BG71" i="160"/>
  <c r="BC71" i="160"/>
  <c r="AY71" i="160"/>
  <c r="AU71" i="160"/>
  <c r="AQ71" i="160"/>
  <c r="AM71" i="160"/>
  <c r="AI71" i="160"/>
  <c r="AE71" i="160"/>
  <c r="AA71" i="160"/>
  <c r="W71" i="160"/>
  <c r="S71" i="160"/>
  <c r="O71" i="160"/>
  <c r="J71" i="160"/>
  <c r="BW70" i="160"/>
  <c r="BS70" i="160"/>
  <c r="BO70" i="160"/>
  <c r="BK70" i="160"/>
  <c r="BG70" i="160"/>
  <c r="BC70" i="160"/>
  <c r="AY70" i="160"/>
  <c r="AU70" i="160"/>
  <c r="AQ70" i="160"/>
  <c r="AM70" i="160"/>
  <c r="AI70" i="160"/>
  <c r="AE70" i="160"/>
  <c r="AA70" i="160"/>
  <c r="W70" i="160"/>
  <c r="S70" i="160"/>
  <c r="O70" i="160"/>
  <c r="J70" i="160"/>
  <c r="BW69" i="160"/>
  <c r="BS69" i="160"/>
  <c r="BO69" i="160"/>
  <c r="BK69" i="160"/>
  <c r="BG69" i="160"/>
  <c r="BC69" i="160"/>
  <c r="AY69" i="160"/>
  <c r="AU69" i="160"/>
  <c r="AQ69" i="160"/>
  <c r="AM69" i="160"/>
  <c r="AI69" i="160"/>
  <c r="AE69" i="160"/>
  <c r="AA69" i="160"/>
  <c r="W69" i="160"/>
  <c r="S69" i="160"/>
  <c r="O69" i="160"/>
  <c r="J69" i="160"/>
  <c r="BW68" i="160"/>
  <c r="BS68" i="160"/>
  <c r="BO68" i="160"/>
  <c r="BK68" i="160"/>
  <c r="BG68" i="160"/>
  <c r="BC68" i="160"/>
  <c r="AY68" i="160"/>
  <c r="AU68" i="160"/>
  <c r="AQ68" i="160"/>
  <c r="AM68" i="160"/>
  <c r="AI68" i="160"/>
  <c r="AE68" i="160"/>
  <c r="AA68" i="160"/>
  <c r="W68" i="160"/>
  <c r="S68" i="160"/>
  <c r="O68" i="160"/>
  <c r="J68" i="160"/>
  <c r="BW67" i="160"/>
  <c r="BS67" i="160"/>
  <c r="BO67" i="160"/>
  <c r="BK67" i="160"/>
  <c r="BG67" i="160"/>
  <c r="BC67" i="160"/>
  <c r="AY67" i="160"/>
  <c r="AU67" i="160"/>
  <c r="AQ67" i="160"/>
  <c r="AM67" i="160"/>
  <c r="AI67" i="160"/>
  <c r="AE67" i="160"/>
  <c r="AA67" i="160"/>
  <c r="W67" i="160"/>
  <c r="S67" i="160"/>
  <c r="O67" i="160"/>
  <c r="J67" i="160"/>
  <c r="BW66" i="160"/>
  <c r="BS66" i="160"/>
  <c r="BO66" i="160"/>
  <c r="BK66" i="160"/>
  <c r="BG66" i="160"/>
  <c r="BC66" i="160"/>
  <c r="AY66" i="160"/>
  <c r="AU66" i="160"/>
  <c r="AQ66" i="160"/>
  <c r="AM66" i="160"/>
  <c r="AI66" i="160"/>
  <c r="AE66" i="160"/>
  <c r="AA66" i="160"/>
  <c r="W66" i="160"/>
  <c r="S66" i="160"/>
  <c r="O66" i="160"/>
  <c r="J66" i="160"/>
  <c r="BW65" i="160"/>
  <c r="BS65" i="160"/>
  <c r="BO65" i="160"/>
  <c r="BK65" i="160"/>
  <c r="BG65" i="160"/>
  <c r="BC65" i="160"/>
  <c r="AY65" i="160"/>
  <c r="AU65" i="160"/>
  <c r="AQ65" i="160"/>
  <c r="AM65" i="160"/>
  <c r="AI65" i="160"/>
  <c r="AE65" i="160"/>
  <c r="AA65" i="160"/>
  <c r="W65" i="160"/>
  <c r="S65" i="160"/>
  <c r="O65" i="160"/>
  <c r="J65" i="160"/>
  <c r="BW64" i="160"/>
  <c r="BS64" i="160"/>
  <c r="BO64" i="160"/>
  <c r="BK64" i="160"/>
  <c r="BG64" i="160"/>
  <c r="BC64" i="160"/>
  <c r="AY64" i="160"/>
  <c r="AU64" i="160"/>
  <c r="AQ64" i="160"/>
  <c r="AM64" i="160"/>
  <c r="AI64" i="160"/>
  <c r="AE64" i="160"/>
  <c r="AA64" i="160"/>
  <c r="W64" i="160"/>
  <c r="S64" i="160"/>
  <c r="O64" i="160"/>
  <c r="J64" i="160"/>
  <c r="BW63" i="160"/>
  <c r="BS63" i="160"/>
  <c r="BO63" i="160"/>
  <c r="BK63" i="160"/>
  <c r="BG63" i="160"/>
  <c r="BC63" i="160"/>
  <c r="AY63" i="160"/>
  <c r="AU63" i="160"/>
  <c r="AQ63" i="160"/>
  <c r="AM63" i="160"/>
  <c r="AI63" i="160"/>
  <c r="AE63" i="160"/>
  <c r="AA63" i="160"/>
  <c r="W63" i="160"/>
  <c r="S63" i="160"/>
  <c r="O63" i="160"/>
  <c r="J63" i="160"/>
  <c r="BW62" i="160"/>
  <c r="BS62" i="160"/>
  <c r="BO62" i="160"/>
  <c r="BK62" i="160"/>
  <c r="BG62" i="160"/>
  <c r="BC62" i="160"/>
  <c r="AY62" i="160"/>
  <c r="AU62" i="160"/>
  <c r="AQ62" i="160"/>
  <c r="AM62" i="160"/>
  <c r="AI62" i="160"/>
  <c r="AE62" i="160"/>
  <c r="AA62" i="160"/>
  <c r="W62" i="160"/>
  <c r="S62" i="160"/>
  <c r="O62" i="160"/>
  <c r="J62" i="160"/>
  <c r="BW61" i="160"/>
  <c r="BS61" i="160"/>
  <c r="BO61" i="160"/>
  <c r="BK61" i="160"/>
  <c r="BG61" i="160"/>
  <c r="BC61" i="160"/>
  <c r="AY61" i="160"/>
  <c r="AU61" i="160"/>
  <c r="AQ61" i="160"/>
  <c r="AM61" i="160"/>
  <c r="AI61" i="160"/>
  <c r="AE61" i="160"/>
  <c r="AA61" i="160"/>
  <c r="W61" i="160"/>
  <c r="S61" i="160"/>
  <c r="O61" i="160"/>
  <c r="J61" i="160"/>
  <c r="BW60" i="160"/>
  <c r="BS60" i="160"/>
  <c r="BO60" i="160"/>
  <c r="BK60" i="160"/>
  <c r="BG60" i="160"/>
  <c r="BC60" i="160"/>
  <c r="AY60" i="160"/>
  <c r="AU60" i="160"/>
  <c r="AQ60" i="160"/>
  <c r="AM60" i="160"/>
  <c r="AI60" i="160"/>
  <c r="AE60" i="160"/>
  <c r="AA60" i="160"/>
  <c r="W60" i="160"/>
  <c r="S60" i="160"/>
  <c r="O60" i="160"/>
  <c r="J60" i="160"/>
  <c r="BW59" i="160"/>
  <c r="BS59" i="160"/>
  <c r="BO59" i="160"/>
  <c r="BK59" i="160"/>
  <c r="BG59" i="160"/>
  <c r="BC59" i="160"/>
  <c r="AY59" i="160"/>
  <c r="AU59" i="160"/>
  <c r="AQ59" i="160"/>
  <c r="AM59" i="160"/>
  <c r="AI59" i="160"/>
  <c r="AE59" i="160"/>
  <c r="AA59" i="160"/>
  <c r="W59" i="160"/>
  <c r="S59" i="160"/>
  <c r="O59" i="160"/>
  <c r="J59" i="160"/>
  <c r="BW58" i="160"/>
  <c r="BS58" i="160"/>
  <c r="BO58" i="160"/>
  <c r="BK58" i="160"/>
  <c r="BG58" i="160"/>
  <c r="BC58" i="160"/>
  <c r="AY58" i="160"/>
  <c r="AU58" i="160"/>
  <c r="AQ58" i="160"/>
  <c r="AM58" i="160"/>
  <c r="AI58" i="160"/>
  <c r="AE58" i="160"/>
  <c r="AA58" i="160"/>
  <c r="W58" i="160"/>
  <c r="S58" i="160"/>
  <c r="O58" i="160"/>
  <c r="J58" i="160"/>
  <c r="BW57" i="160"/>
  <c r="BS57" i="160"/>
  <c r="BO57" i="160"/>
  <c r="BK57" i="160"/>
  <c r="BG57" i="160"/>
  <c r="BC57" i="160"/>
  <c r="AY57" i="160"/>
  <c r="AU57" i="160"/>
  <c r="AQ57" i="160"/>
  <c r="AM57" i="160"/>
  <c r="AI57" i="160"/>
  <c r="AE57" i="160"/>
  <c r="AA57" i="160"/>
  <c r="W57" i="160"/>
  <c r="S57" i="160"/>
  <c r="O57" i="160"/>
  <c r="J57" i="160"/>
  <c r="BW56" i="160"/>
  <c r="BS56" i="160"/>
  <c r="BO56" i="160"/>
  <c r="BK56" i="160"/>
  <c r="BG56" i="160"/>
  <c r="BC56" i="160"/>
  <c r="AY56" i="160"/>
  <c r="AU56" i="160"/>
  <c r="AQ56" i="160"/>
  <c r="AM56" i="160"/>
  <c r="AI56" i="160"/>
  <c r="AE56" i="160"/>
  <c r="AA56" i="160"/>
  <c r="W56" i="160"/>
  <c r="S56" i="160"/>
  <c r="O56" i="160"/>
  <c r="J56" i="160"/>
  <c r="BW55" i="160"/>
  <c r="BS55" i="160"/>
  <c r="BO55" i="160"/>
  <c r="BK55" i="160"/>
  <c r="BG55" i="160"/>
  <c r="BC55" i="160"/>
  <c r="AY55" i="160"/>
  <c r="AU55" i="160"/>
  <c r="AQ55" i="160"/>
  <c r="AM55" i="160"/>
  <c r="AI55" i="160"/>
  <c r="AE55" i="160"/>
  <c r="AA55" i="160"/>
  <c r="W55" i="160"/>
  <c r="S55" i="160"/>
  <c r="O55" i="160"/>
  <c r="J55" i="160"/>
  <c r="BW54" i="160"/>
  <c r="BS54" i="160"/>
  <c r="BO54" i="160"/>
  <c r="BK54" i="160"/>
  <c r="BG54" i="160"/>
  <c r="BC54" i="160"/>
  <c r="AY54" i="160"/>
  <c r="AU54" i="160"/>
  <c r="AQ54" i="160"/>
  <c r="AM54" i="160"/>
  <c r="AI54" i="160"/>
  <c r="AE54" i="160"/>
  <c r="AA54" i="160"/>
  <c r="W54" i="160"/>
  <c r="S54" i="160"/>
  <c r="O54" i="160"/>
  <c r="J54" i="160"/>
  <c r="BW53" i="160"/>
  <c r="BS53" i="160"/>
  <c r="BO53" i="160"/>
  <c r="BK53" i="160"/>
  <c r="BG53" i="160"/>
  <c r="BC53" i="160"/>
  <c r="AY53" i="160"/>
  <c r="AU53" i="160"/>
  <c r="AQ53" i="160"/>
  <c r="AM53" i="160"/>
  <c r="AI53" i="160"/>
  <c r="AE53" i="160"/>
  <c r="AA53" i="160"/>
  <c r="W53" i="160"/>
  <c r="S53" i="160"/>
  <c r="O53" i="160"/>
  <c r="J53" i="160"/>
  <c r="BW52" i="160"/>
  <c r="BS52" i="160"/>
  <c r="BO52" i="160"/>
  <c r="BK52" i="160"/>
  <c r="BG52" i="160"/>
  <c r="BC52" i="160"/>
  <c r="AY52" i="160"/>
  <c r="AU52" i="160"/>
  <c r="AQ52" i="160"/>
  <c r="AM52" i="160"/>
  <c r="AI52" i="160"/>
  <c r="AE52" i="160"/>
  <c r="AA52" i="160"/>
  <c r="W52" i="160"/>
  <c r="S52" i="160"/>
  <c r="O52" i="160"/>
  <c r="J52" i="160"/>
  <c r="BW51" i="160"/>
  <c r="BS51" i="160"/>
  <c r="BO51" i="160"/>
  <c r="BK51" i="160"/>
  <c r="BG51" i="160"/>
  <c r="BC51" i="160"/>
  <c r="AY51" i="160"/>
  <c r="AU51" i="160"/>
  <c r="AQ51" i="160"/>
  <c r="AM51" i="160"/>
  <c r="AI51" i="160"/>
  <c r="AE51" i="160"/>
  <c r="AA51" i="160"/>
  <c r="W51" i="160"/>
  <c r="S51" i="160"/>
  <c r="O51" i="160"/>
  <c r="J51" i="160"/>
  <c r="BW50" i="160"/>
  <c r="BS50" i="160"/>
  <c r="BO50" i="160"/>
  <c r="BK50" i="160"/>
  <c r="BG50" i="160"/>
  <c r="BC50" i="160"/>
  <c r="AY50" i="160"/>
  <c r="AU50" i="160"/>
  <c r="AQ50" i="160"/>
  <c r="AM50" i="160"/>
  <c r="AI50" i="160"/>
  <c r="AE50" i="160"/>
  <c r="AA50" i="160"/>
  <c r="W50" i="160"/>
  <c r="S50" i="160"/>
  <c r="O50" i="160"/>
  <c r="J50" i="160"/>
  <c r="BW49" i="160"/>
  <c r="BS49" i="160"/>
  <c r="BO49" i="160"/>
  <c r="BK49" i="160"/>
  <c r="BG49" i="160"/>
  <c r="BC49" i="160"/>
  <c r="AY49" i="160"/>
  <c r="AU49" i="160"/>
  <c r="AQ49" i="160"/>
  <c r="AM49" i="160"/>
  <c r="AI49" i="160"/>
  <c r="AE49" i="160"/>
  <c r="AA49" i="160"/>
  <c r="W49" i="160"/>
  <c r="S49" i="160"/>
  <c r="O49" i="160"/>
  <c r="J49" i="160"/>
  <c r="BW48" i="160"/>
  <c r="BS48" i="160"/>
  <c r="BO48" i="160"/>
  <c r="BK48" i="160"/>
  <c r="BG48" i="160"/>
  <c r="BC48" i="160"/>
  <c r="AY48" i="160"/>
  <c r="AU48" i="160"/>
  <c r="AQ48" i="160"/>
  <c r="AM48" i="160"/>
  <c r="AI48" i="160"/>
  <c r="AE48" i="160"/>
  <c r="AA48" i="160"/>
  <c r="W48" i="160"/>
  <c r="S48" i="160"/>
  <c r="O48" i="160"/>
  <c r="J48" i="160"/>
  <c r="BW47" i="160"/>
  <c r="BS47" i="160"/>
  <c r="BO47" i="160"/>
  <c r="BK47" i="160"/>
  <c r="BG47" i="160"/>
  <c r="BC47" i="160"/>
  <c r="AY47" i="160"/>
  <c r="AU47" i="160"/>
  <c r="AQ47" i="160"/>
  <c r="AM47" i="160"/>
  <c r="AI47" i="160"/>
  <c r="AE47" i="160"/>
  <c r="AA47" i="160"/>
  <c r="W47" i="160"/>
  <c r="S47" i="160"/>
  <c r="O47" i="160"/>
  <c r="J47" i="160"/>
  <c r="BW46" i="160"/>
  <c r="BS46" i="160"/>
  <c r="BO46" i="160"/>
  <c r="BK46" i="160"/>
  <c r="BG46" i="160"/>
  <c r="BC46" i="160"/>
  <c r="AY46" i="160"/>
  <c r="AU46" i="160"/>
  <c r="AQ46" i="160"/>
  <c r="AM46" i="160"/>
  <c r="AI46" i="160"/>
  <c r="AE46" i="160"/>
  <c r="AA46" i="160"/>
  <c r="W46" i="160"/>
  <c r="S46" i="160"/>
  <c r="O46" i="160"/>
  <c r="J46" i="160"/>
  <c r="BW45" i="160"/>
  <c r="BS45" i="160"/>
  <c r="BO45" i="160"/>
  <c r="BK45" i="160"/>
  <c r="BG45" i="160"/>
  <c r="BC45" i="160"/>
  <c r="AY45" i="160"/>
  <c r="AU45" i="160"/>
  <c r="AQ45" i="160"/>
  <c r="AM45" i="160"/>
  <c r="AI45" i="160"/>
  <c r="AE45" i="160"/>
  <c r="AA45" i="160"/>
  <c r="W45" i="160"/>
  <c r="S45" i="160"/>
  <c r="O45" i="160"/>
  <c r="J45" i="160"/>
  <c r="BW44" i="160"/>
  <c r="BS44" i="160"/>
  <c r="BO44" i="160"/>
  <c r="BK44" i="160"/>
  <c r="BG44" i="160"/>
  <c r="BC44" i="160"/>
  <c r="AY44" i="160"/>
  <c r="AU44" i="160"/>
  <c r="AQ44" i="160"/>
  <c r="AM44" i="160"/>
  <c r="AI44" i="160"/>
  <c r="AE44" i="160"/>
  <c r="AA44" i="160"/>
  <c r="W44" i="160"/>
  <c r="S44" i="160"/>
  <c r="O44" i="160"/>
  <c r="J44" i="160"/>
  <c r="BW43" i="160"/>
  <c r="BS43" i="160"/>
  <c r="BO43" i="160"/>
  <c r="BK43" i="160"/>
  <c r="BG43" i="160"/>
  <c r="BC43" i="160"/>
  <c r="AY43" i="160"/>
  <c r="AU43" i="160"/>
  <c r="AQ43" i="160"/>
  <c r="AM43" i="160"/>
  <c r="AI43" i="160"/>
  <c r="AE43" i="160"/>
  <c r="AA43" i="160"/>
  <c r="W43" i="160"/>
  <c r="S43" i="160"/>
  <c r="O43" i="160"/>
  <c r="J43" i="160"/>
  <c r="BW42" i="160"/>
  <c r="BS42" i="160"/>
  <c r="BO42" i="160"/>
  <c r="BK42" i="160"/>
  <c r="BG42" i="160"/>
  <c r="BC42" i="160"/>
  <c r="AY42" i="160"/>
  <c r="AU42" i="160"/>
  <c r="AQ42" i="160"/>
  <c r="AM42" i="160"/>
  <c r="AI42" i="160"/>
  <c r="AE42" i="160"/>
  <c r="AA42" i="160"/>
  <c r="W42" i="160"/>
  <c r="S42" i="160"/>
  <c r="O42" i="160"/>
  <c r="J42" i="160"/>
  <c r="BW41" i="160"/>
  <c r="BS41" i="160"/>
  <c r="BO41" i="160"/>
  <c r="BK41" i="160"/>
  <c r="BG41" i="160"/>
  <c r="BC41" i="160"/>
  <c r="AY41" i="160"/>
  <c r="AU41" i="160"/>
  <c r="AQ41" i="160"/>
  <c r="AM41" i="160"/>
  <c r="AI41" i="160"/>
  <c r="AE41" i="160"/>
  <c r="AA41" i="160"/>
  <c r="W41" i="160"/>
  <c r="S41" i="160"/>
  <c r="O41" i="160"/>
  <c r="J41" i="160"/>
  <c r="BW40" i="160"/>
  <c r="BS40" i="160"/>
  <c r="BO40" i="160"/>
  <c r="BK40" i="160"/>
  <c r="BG40" i="160"/>
  <c r="BC40" i="160"/>
  <c r="AY40" i="160"/>
  <c r="AU40" i="160"/>
  <c r="AQ40" i="160"/>
  <c r="AM40" i="160"/>
  <c r="AI40" i="160"/>
  <c r="AE40" i="160"/>
  <c r="AA40" i="160"/>
  <c r="W40" i="160"/>
  <c r="S40" i="160"/>
  <c r="O40" i="160"/>
  <c r="J40" i="160"/>
  <c r="BW39" i="160"/>
  <c r="BS39" i="160"/>
  <c r="BO39" i="160"/>
  <c r="BK39" i="160"/>
  <c r="BG39" i="160"/>
  <c r="BC39" i="160"/>
  <c r="AY39" i="160"/>
  <c r="AU39" i="160"/>
  <c r="AQ39" i="160"/>
  <c r="AM39" i="160"/>
  <c r="AI39" i="160"/>
  <c r="AE39" i="160"/>
  <c r="AA39" i="160"/>
  <c r="W39" i="160"/>
  <c r="S39" i="160"/>
  <c r="O39" i="160"/>
  <c r="J39" i="160"/>
  <c r="BW38" i="160"/>
  <c r="BS38" i="160"/>
  <c r="BO38" i="160"/>
  <c r="BK38" i="160"/>
  <c r="BG38" i="160"/>
  <c r="BC38" i="160"/>
  <c r="AY38" i="160"/>
  <c r="AU38" i="160"/>
  <c r="AQ38" i="160"/>
  <c r="AM38" i="160"/>
  <c r="AI38" i="160"/>
  <c r="AE38" i="160"/>
  <c r="AA38" i="160"/>
  <c r="W38" i="160"/>
  <c r="S38" i="160"/>
  <c r="O38" i="160"/>
  <c r="J38" i="160"/>
  <c r="BW37" i="160"/>
  <c r="BS37" i="160"/>
  <c r="BO37" i="160"/>
  <c r="BK37" i="160"/>
  <c r="BG37" i="160"/>
  <c r="BC37" i="160"/>
  <c r="AY37" i="160"/>
  <c r="AU37" i="160"/>
  <c r="AQ37" i="160"/>
  <c r="AM37" i="160"/>
  <c r="AI37" i="160"/>
  <c r="AE37" i="160"/>
  <c r="AA37" i="160"/>
  <c r="W37" i="160"/>
  <c r="S37" i="160"/>
  <c r="O37" i="160"/>
  <c r="J37" i="160"/>
  <c r="BW36" i="160"/>
  <c r="BS36" i="160"/>
  <c r="BO36" i="160"/>
  <c r="BK36" i="160"/>
  <c r="BG36" i="160"/>
  <c r="BC36" i="160"/>
  <c r="AY36" i="160"/>
  <c r="AU36" i="160"/>
  <c r="AQ36" i="160"/>
  <c r="AM36" i="160"/>
  <c r="AI36" i="160"/>
  <c r="AE36" i="160"/>
  <c r="AA36" i="160"/>
  <c r="W36" i="160"/>
  <c r="S36" i="160"/>
  <c r="O36" i="160"/>
  <c r="J36" i="160"/>
  <c r="BW35" i="160"/>
  <c r="BS35" i="160"/>
  <c r="BO35" i="160"/>
  <c r="BK35" i="160"/>
  <c r="BG35" i="160"/>
  <c r="BC35" i="160"/>
  <c r="AY35" i="160"/>
  <c r="AU35" i="160"/>
  <c r="AQ35" i="160"/>
  <c r="AM35" i="160"/>
  <c r="AI35" i="160"/>
  <c r="AE35" i="160"/>
  <c r="AA35" i="160"/>
  <c r="W35" i="160"/>
  <c r="S35" i="160"/>
  <c r="O35" i="160"/>
  <c r="J35" i="160"/>
  <c r="BW34" i="160"/>
  <c r="BS34" i="160"/>
  <c r="BO34" i="160"/>
  <c r="BK34" i="160"/>
  <c r="BG34" i="160"/>
  <c r="BC34" i="160"/>
  <c r="AY34" i="160"/>
  <c r="AU34" i="160"/>
  <c r="AQ34" i="160"/>
  <c r="AM34" i="160"/>
  <c r="AI34" i="160"/>
  <c r="AE34" i="160"/>
  <c r="AA34" i="160"/>
  <c r="W34" i="160"/>
  <c r="S34" i="160"/>
  <c r="O34" i="160"/>
  <c r="J34" i="160"/>
  <c r="BW33" i="160"/>
  <c r="BS33" i="160"/>
  <c r="BO33" i="160"/>
  <c r="BK33" i="160"/>
  <c r="BG33" i="160"/>
  <c r="BC33" i="160"/>
  <c r="AY33" i="160"/>
  <c r="AU33" i="160"/>
  <c r="AQ33" i="160"/>
  <c r="AM33" i="160"/>
  <c r="AI33" i="160"/>
  <c r="AE33" i="160"/>
  <c r="AA33" i="160"/>
  <c r="W33" i="160"/>
  <c r="S33" i="160"/>
  <c r="O33" i="160"/>
  <c r="J33" i="160"/>
  <c r="BW32" i="160"/>
  <c r="BS32" i="160"/>
  <c r="BO32" i="160"/>
  <c r="BK32" i="160"/>
  <c r="BG32" i="160"/>
  <c r="BC32" i="160"/>
  <c r="AY32" i="160"/>
  <c r="AU32" i="160"/>
  <c r="AQ32" i="160"/>
  <c r="AM32" i="160"/>
  <c r="AI32" i="160"/>
  <c r="AE32" i="160"/>
  <c r="AA32" i="160"/>
  <c r="W32" i="160"/>
  <c r="S32" i="160"/>
  <c r="O32" i="160"/>
  <c r="J32" i="160"/>
  <c r="BW31" i="160"/>
  <c r="BS31" i="160"/>
  <c r="BO31" i="160"/>
  <c r="BK31" i="160"/>
  <c r="BG31" i="160"/>
  <c r="BC31" i="160"/>
  <c r="AY31" i="160"/>
  <c r="AU31" i="160"/>
  <c r="AQ31" i="160"/>
  <c r="AM31" i="160"/>
  <c r="AI31" i="160"/>
  <c r="AE31" i="160"/>
  <c r="AA31" i="160"/>
  <c r="W31" i="160"/>
  <c r="S31" i="160"/>
  <c r="O31" i="160"/>
  <c r="J31" i="160"/>
  <c r="BW30" i="160"/>
  <c r="BS30" i="160"/>
  <c r="BO30" i="160"/>
  <c r="BK30" i="160"/>
  <c r="BG30" i="160"/>
  <c r="BC30" i="160"/>
  <c r="AY30" i="160"/>
  <c r="AU30" i="160"/>
  <c r="AQ30" i="160"/>
  <c r="AM30" i="160"/>
  <c r="AI30" i="160"/>
  <c r="AE30" i="160"/>
  <c r="AA30" i="160"/>
  <c r="W30" i="160"/>
  <c r="S30" i="160"/>
  <c r="O30" i="160"/>
  <c r="J30" i="160"/>
  <c r="BW29" i="160"/>
  <c r="BS29" i="160"/>
  <c r="BO29" i="160"/>
  <c r="BK29" i="160"/>
  <c r="BG29" i="160"/>
  <c r="BC29" i="160"/>
  <c r="AY29" i="160"/>
  <c r="AU29" i="160"/>
  <c r="AQ29" i="160"/>
  <c r="AM29" i="160"/>
  <c r="AI29" i="160"/>
  <c r="AE29" i="160"/>
  <c r="AA29" i="160"/>
  <c r="W29" i="160"/>
  <c r="S29" i="160"/>
  <c r="O29" i="160"/>
  <c r="J29" i="160"/>
  <c r="BW28" i="160"/>
  <c r="BS28" i="160"/>
  <c r="BO28" i="160"/>
  <c r="BK28" i="160"/>
  <c r="BG28" i="160"/>
  <c r="BC28" i="160"/>
  <c r="AY28" i="160"/>
  <c r="AU28" i="160"/>
  <c r="AQ28" i="160"/>
  <c r="AM28" i="160"/>
  <c r="AI28" i="160"/>
  <c r="AE28" i="160"/>
  <c r="AA28" i="160"/>
  <c r="W28" i="160"/>
  <c r="S28" i="160"/>
  <c r="O28" i="160"/>
  <c r="J28" i="160"/>
  <c r="BW27" i="160"/>
  <c r="BS27" i="160"/>
  <c r="BO27" i="160"/>
  <c r="BK27" i="160"/>
  <c r="BG27" i="160"/>
  <c r="BC27" i="160"/>
  <c r="AY27" i="160"/>
  <c r="AU27" i="160"/>
  <c r="AQ27" i="160"/>
  <c r="AM27" i="160"/>
  <c r="AI27" i="160"/>
  <c r="AE27" i="160"/>
  <c r="AA27" i="160"/>
  <c r="W27" i="160"/>
  <c r="S27" i="160"/>
  <c r="O27" i="160"/>
  <c r="J27" i="160"/>
  <c r="BW26" i="160"/>
  <c r="BS26" i="160"/>
  <c r="BO26" i="160"/>
  <c r="BK26" i="160"/>
  <c r="BG26" i="160"/>
  <c r="BC26" i="160"/>
  <c r="AY26" i="160"/>
  <c r="AU26" i="160"/>
  <c r="AQ26" i="160"/>
  <c r="AM26" i="160"/>
  <c r="AI26" i="160"/>
  <c r="AE26" i="160"/>
  <c r="AA26" i="160"/>
  <c r="W26" i="160"/>
  <c r="S26" i="160"/>
  <c r="O26" i="160"/>
  <c r="J26" i="160"/>
  <c r="BW25" i="160"/>
  <c r="BS25" i="160"/>
  <c r="BO25" i="160"/>
  <c r="BK25" i="160"/>
  <c r="BG25" i="160"/>
  <c r="BC25" i="160"/>
  <c r="AY25" i="160"/>
  <c r="AU25" i="160"/>
  <c r="AQ25" i="160"/>
  <c r="AM25" i="160"/>
  <c r="AI25" i="160"/>
  <c r="AE25" i="160"/>
  <c r="AA25" i="160"/>
  <c r="W25" i="160"/>
  <c r="S25" i="160"/>
  <c r="O25" i="160"/>
  <c r="J25" i="160"/>
  <c r="BW24" i="160"/>
  <c r="BS24" i="160"/>
  <c r="BO24" i="160"/>
  <c r="BK24" i="160"/>
  <c r="BG24" i="160"/>
  <c r="BC24" i="160"/>
  <c r="AY24" i="160"/>
  <c r="AU24" i="160"/>
  <c r="AQ24" i="160"/>
  <c r="AM24" i="160"/>
  <c r="AI24" i="160"/>
  <c r="AE24" i="160"/>
  <c r="AA24" i="160"/>
  <c r="W24" i="160"/>
  <c r="S24" i="160"/>
  <c r="O24" i="160"/>
  <c r="J24" i="160"/>
  <c r="BW23" i="160"/>
  <c r="BS23" i="160"/>
  <c r="BO23" i="160"/>
  <c r="BK23" i="160"/>
  <c r="BG23" i="160"/>
  <c r="BC23" i="160"/>
  <c r="AY23" i="160"/>
  <c r="AU23" i="160"/>
  <c r="AQ23" i="160"/>
  <c r="AM23" i="160"/>
  <c r="AI23" i="160"/>
  <c r="AE23" i="160"/>
  <c r="AA23" i="160"/>
  <c r="W23" i="160"/>
  <c r="S23" i="160"/>
  <c r="O23" i="160"/>
  <c r="J23" i="160"/>
  <c r="BW22" i="160"/>
  <c r="BS22" i="160"/>
  <c r="BO22" i="160"/>
  <c r="BK22" i="160"/>
  <c r="BG22" i="160"/>
  <c r="BC22" i="160"/>
  <c r="AY22" i="160"/>
  <c r="AU22" i="160"/>
  <c r="AQ22" i="160"/>
  <c r="AM22" i="160"/>
  <c r="AI22" i="160"/>
  <c r="AE22" i="160"/>
  <c r="AA22" i="160"/>
  <c r="W22" i="160"/>
  <c r="S22" i="160"/>
  <c r="O22" i="160"/>
  <c r="J22" i="160"/>
  <c r="BW21" i="160"/>
  <c r="BS21" i="160"/>
  <c r="BO21" i="160"/>
  <c r="BK21" i="160"/>
  <c r="BG21" i="160"/>
  <c r="BC21" i="160"/>
  <c r="AY21" i="160"/>
  <c r="AU21" i="160"/>
  <c r="AQ21" i="160"/>
  <c r="AM21" i="160"/>
  <c r="AI21" i="160"/>
  <c r="AE21" i="160"/>
  <c r="AA21" i="160"/>
  <c r="W21" i="160"/>
  <c r="S21" i="160"/>
  <c r="O21" i="160"/>
  <c r="J21" i="160"/>
  <c r="BW20" i="160"/>
  <c r="BS20" i="160"/>
  <c r="BO20" i="160"/>
  <c r="BK20" i="160"/>
  <c r="BG20" i="160"/>
  <c r="BC20" i="160"/>
  <c r="AY20" i="160"/>
  <c r="AU20" i="160"/>
  <c r="AQ20" i="160"/>
  <c r="AM20" i="160"/>
  <c r="AI20" i="160"/>
  <c r="AE20" i="160"/>
  <c r="AA20" i="160"/>
  <c r="W20" i="160"/>
  <c r="S20" i="160"/>
  <c r="O20" i="160"/>
  <c r="J20" i="160"/>
  <c r="BW19" i="160"/>
  <c r="BS19" i="160"/>
  <c r="BO19" i="160"/>
  <c r="BK19" i="160"/>
  <c r="BG19" i="160"/>
  <c r="BC19" i="160"/>
  <c r="AY19" i="160"/>
  <c r="AU19" i="160"/>
  <c r="AQ19" i="160"/>
  <c r="AM19" i="160"/>
  <c r="AI19" i="160"/>
  <c r="AE19" i="160"/>
  <c r="AA19" i="160"/>
  <c r="W19" i="160"/>
  <c r="S19" i="160"/>
  <c r="O19" i="160"/>
  <c r="J19" i="160"/>
  <c r="BW18" i="160"/>
  <c r="BS18" i="160"/>
  <c r="BO18" i="160"/>
  <c r="BK18" i="160"/>
  <c r="BG18" i="160"/>
  <c r="BC18" i="160"/>
  <c r="AY18" i="160"/>
  <c r="AU18" i="160"/>
  <c r="AQ18" i="160"/>
  <c r="AM18" i="160"/>
  <c r="AI18" i="160"/>
  <c r="AE18" i="160"/>
  <c r="AA18" i="160"/>
  <c r="W18" i="160"/>
  <c r="S18" i="160"/>
  <c r="O18" i="160"/>
  <c r="J18" i="160"/>
  <c r="BW17" i="160"/>
  <c r="BS17" i="160"/>
  <c r="BO17" i="160"/>
  <c r="BK17" i="160"/>
  <c r="BG17" i="160"/>
  <c r="BC17" i="160"/>
  <c r="AY17" i="160"/>
  <c r="AU17" i="160"/>
  <c r="AQ17" i="160"/>
  <c r="AM17" i="160"/>
  <c r="AI17" i="160"/>
  <c r="AE17" i="160"/>
  <c r="AA17" i="160"/>
  <c r="W17" i="160"/>
  <c r="S17" i="160"/>
  <c r="O17" i="160"/>
  <c r="J17" i="160"/>
  <c r="BW16" i="160"/>
  <c r="BS16" i="160"/>
  <c r="BO16" i="160"/>
  <c r="BK16" i="160"/>
  <c r="BG16" i="160"/>
  <c r="BC16" i="160"/>
  <c r="AY16" i="160"/>
  <c r="AU16" i="160"/>
  <c r="AQ16" i="160"/>
  <c r="AM16" i="160"/>
  <c r="AI16" i="160"/>
  <c r="AE16" i="160"/>
  <c r="AA16" i="160"/>
  <c r="W16" i="160"/>
  <c r="S16" i="160"/>
  <c r="O16" i="160"/>
  <c r="J16" i="160"/>
  <c r="BW15" i="160"/>
  <c r="BS15" i="160"/>
  <c r="BO15" i="160"/>
  <c r="BK15" i="160"/>
  <c r="BG15" i="160"/>
  <c r="BC15" i="160"/>
  <c r="AY15" i="160"/>
  <c r="AU15" i="160"/>
  <c r="AQ15" i="160"/>
  <c r="AM15" i="160"/>
  <c r="AI15" i="160"/>
  <c r="AE15" i="160"/>
  <c r="AA15" i="160"/>
  <c r="W15" i="160"/>
  <c r="S15" i="160"/>
  <c r="O15" i="160"/>
  <c r="J15" i="160"/>
  <c r="BW14" i="160"/>
  <c r="BS14" i="160"/>
  <c r="BO14" i="160"/>
  <c r="BK14" i="160"/>
  <c r="BG14" i="160"/>
  <c r="BC14" i="160"/>
  <c r="AY14" i="160"/>
  <c r="AU14" i="160"/>
  <c r="AQ14" i="160"/>
  <c r="AM14" i="160"/>
  <c r="AI14" i="160"/>
  <c r="AE14" i="160"/>
  <c r="AA14" i="160"/>
  <c r="W14" i="160"/>
  <c r="S14" i="160"/>
  <c r="O14" i="160"/>
  <c r="J14" i="160"/>
  <c r="BW13" i="160"/>
  <c r="BS13" i="160"/>
  <c r="BO13" i="160"/>
  <c r="BK13" i="160"/>
  <c r="BG13" i="160"/>
  <c r="BC13" i="160"/>
  <c r="AY13" i="160"/>
  <c r="AU13" i="160"/>
  <c r="AQ13" i="160"/>
  <c r="AM13" i="160"/>
  <c r="AI13" i="160"/>
  <c r="AE13" i="160"/>
  <c r="AA13" i="160"/>
  <c r="W13" i="160"/>
  <c r="S13" i="160"/>
  <c r="O13" i="160"/>
  <c r="J13" i="160"/>
  <c r="BW12" i="160"/>
  <c r="BS12" i="160"/>
  <c r="BO12" i="160"/>
  <c r="BK12" i="160"/>
  <c r="BG12" i="160"/>
  <c r="BC12" i="160"/>
  <c r="AY12" i="160"/>
  <c r="AU12" i="160"/>
  <c r="AQ12" i="160"/>
  <c r="AM12" i="160"/>
  <c r="AI12" i="160"/>
  <c r="AE12" i="160"/>
  <c r="AA12" i="160"/>
  <c r="W12" i="160"/>
  <c r="S12" i="160"/>
  <c r="O12" i="160"/>
  <c r="J12" i="160"/>
  <c r="BW11" i="160"/>
  <c r="BS11" i="160"/>
  <c r="BO11" i="160"/>
  <c r="BK11" i="160"/>
  <c r="BG11" i="160"/>
  <c r="BC11" i="160"/>
  <c r="AY11" i="160"/>
  <c r="AU11" i="160"/>
  <c r="AQ11" i="160"/>
  <c r="AM11" i="160"/>
  <c r="AI11" i="160"/>
  <c r="AE11" i="160"/>
  <c r="AA11" i="160"/>
  <c r="W11" i="160"/>
  <c r="S11" i="160"/>
  <c r="O11" i="160"/>
  <c r="J11" i="160"/>
  <c r="BW10" i="160"/>
  <c r="BS10" i="160"/>
  <c r="BO10" i="160"/>
  <c r="BK10" i="160"/>
  <c r="BG10" i="160"/>
  <c r="BC10" i="160"/>
  <c r="AY10" i="160"/>
  <c r="AU10" i="160"/>
  <c r="AQ10" i="160"/>
  <c r="AM10" i="160"/>
  <c r="AI10" i="160"/>
  <c r="AE10" i="160"/>
  <c r="AA10" i="160"/>
  <c r="W10" i="160"/>
  <c r="S10" i="160"/>
  <c r="O10" i="160"/>
  <c r="J10" i="160"/>
  <c r="BW9" i="160"/>
  <c r="BS9" i="160"/>
  <c r="BO9" i="160"/>
  <c r="BK9" i="160"/>
  <c r="BG9" i="160"/>
  <c r="BC9" i="160"/>
  <c r="AY9" i="160"/>
  <c r="AU9" i="160"/>
  <c r="AQ9" i="160"/>
  <c r="AM9" i="160"/>
  <c r="AI9" i="160"/>
  <c r="AE9" i="160"/>
  <c r="AA9" i="160"/>
  <c r="W9" i="160"/>
  <c r="S9" i="160"/>
  <c r="O9" i="160"/>
  <c r="J9" i="160"/>
  <c r="BW8" i="160"/>
  <c r="BS8" i="160"/>
  <c r="BO8" i="160"/>
  <c r="BK8" i="160"/>
  <c r="BG8" i="160"/>
  <c r="BC8" i="160"/>
  <c r="AY8" i="160"/>
  <c r="AU8" i="160"/>
  <c r="AQ8" i="160"/>
  <c r="AM8" i="160"/>
  <c r="AI8" i="160"/>
  <c r="AE8" i="160"/>
  <c r="AA8" i="160"/>
  <c r="W8" i="160"/>
  <c r="S8" i="160"/>
  <c r="O8" i="160"/>
  <c r="J8" i="160"/>
  <c r="BW7" i="160"/>
  <c r="BS7" i="160"/>
  <c r="BO7" i="160"/>
  <c r="BK7" i="160"/>
  <c r="BG7" i="160"/>
  <c r="BC7" i="160"/>
  <c r="AY7" i="160"/>
  <c r="AU7" i="160"/>
  <c r="AQ7" i="160"/>
  <c r="AM7" i="160"/>
  <c r="AI7" i="160"/>
  <c r="AE7" i="160"/>
  <c r="AA7" i="160"/>
  <c r="W7" i="160"/>
  <c r="S7" i="160"/>
  <c r="O7" i="160"/>
  <c r="J7" i="160"/>
  <c r="BR6" i="160"/>
  <c r="BS6" i="160" s="1"/>
  <c r="BQ6" i="160"/>
  <c r="BP6" i="160"/>
  <c r="BO6" i="160"/>
  <c r="BN6" i="160"/>
  <c r="BL6" i="160"/>
  <c r="BJ6" i="160"/>
  <c r="BK6" i="160" s="1"/>
  <c r="AT6" i="160"/>
  <c r="AU6" i="160" s="1"/>
  <c r="AS6" i="160"/>
  <c r="AR6" i="160"/>
  <c r="AQ6" i="160"/>
  <c r="AP6" i="160"/>
  <c r="AN6" i="160"/>
  <c r="AL6" i="160"/>
  <c r="AM6" i="160" s="1"/>
  <c r="AE6" i="160"/>
  <c r="AD6" i="160"/>
  <c r="V6" i="160"/>
  <c r="W6" i="160" s="1"/>
  <c r="U6" i="160"/>
  <c r="T6" i="160"/>
  <c r="S6" i="160"/>
  <c r="R6" i="160"/>
  <c r="P6" i="160"/>
  <c r="N6" i="160"/>
  <c r="O6" i="160" s="1"/>
  <c r="BP5" i="160"/>
  <c r="BS5" i="160" s="1"/>
  <c r="BO5" i="160"/>
  <c r="BL5" i="160"/>
  <c r="BH5" i="160"/>
  <c r="BK5" i="160" s="1"/>
  <c r="BD5" i="160"/>
  <c r="BG5" i="160" s="1"/>
  <c r="AR5" i="160"/>
  <c r="AU5" i="160" s="1"/>
  <c r="AQ5" i="160"/>
  <c r="AN5" i="160"/>
  <c r="AJ5" i="160"/>
  <c r="AM5" i="160" s="1"/>
  <c r="AF5" i="160"/>
  <c r="AI5" i="160" s="1"/>
  <c r="T5" i="160"/>
  <c r="W5" i="160" s="1"/>
  <c r="S5" i="160"/>
  <c r="P5" i="160"/>
  <c r="L5" i="160"/>
  <c r="O5" i="160" s="1"/>
  <c r="BS4" i="160"/>
  <c r="BT5" i="160" s="1"/>
  <c r="BW5" i="160" s="1"/>
  <c r="BP4" i="160"/>
  <c r="BO4" i="160"/>
  <c r="BK4" i="160"/>
  <c r="BL4" i="160" s="1"/>
  <c r="BG4" i="160"/>
  <c r="BH4" i="160" s="1"/>
  <c r="BD4" i="160"/>
  <c r="BC4" i="160"/>
  <c r="BF6" i="160" s="1"/>
  <c r="BG6" i="160" s="1"/>
  <c r="AY4" i="160"/>
  <c r="BB6" i="160" s="1"/>
  <c r="BC6" i="160" s="1"/>
  <c r="AU4" i="160"/>
  <c r="AV5" i="160" s="1"/>
  <c r="AY5" i="160" s="1"/>
  <c r="AR4" i="160"/>
  <c r="AQ4" i="160"/>
  <c r="AM4" i="160"/>
  <c r="AN4" i="160" s="1"/>
  <c r="AI4" i="160"/>
  <c r="AJ4" i="160" s="1"/>
  <c r="AF4" i="160"/>
  <c r="AE4" i="160"/>
  <c r="AH6" i="160" s="1"/>
  <c r="AI6" i="160" s="1"/>
  <c r="AA4" i="160"/>
  <c r="AC6" i="160" s="1"/>
  <c r="W4" i="160"/>
  <c r="X5" i="160" s="1"/>
  <c r="AA5" i="160" s="1"/>
  <c r="T4" i="160"/>
  <c r="S4" i="160"/>
  <c r="O4" i="160"/>
  <c r="P4" i="160" s="1"/>
  <c r="K4" i="160"/>
  <c r="L4" i="160" s="1"/>
  <c r="J4" i="160"/>
  <c r="BT3" i="160"/>
  <c r="BP3" i="160"/>
  <c r="BL3" i="160"/>
  <c r="BH3" i="160"/>
  <c r="BD3" i="160"/>
  <c r="AZ3" i="160"/>
  <c r="AV3" i="160"/>
  <c r="AR3" i="160"/>
  <c r="AN3" i="160"/>
  <c r="AJ3" i="160"/>
  <c r="AF3" i="160"/>
  <c r="AB3" i="160"/>
  <c r="X3" i="160"/>
  <c r="T3" i="160"/>
  <c r="P3" i="160"/>
  <c r="L3" i="160"/>
  <c r="J3" i="160"/>
  <c r="J2" i="160"/>
  <c r="F1" i="160"/>
  <c r="BW82" i="159"/>
  <c r="BS82" i="159"/>
  <c r="BO82" i="159"/>
  <c r="BK82" i="159"/>
  <c r="BG82" i="159"/>
  <c r="BC82" i="159"/>
  <c r="AY82" i="159"/>
  <c r="AU82" i="159"/>
  <c r="AQ82" i="159"/>
  <c r="AM82" i="159"/>
  <c r="AI82" i="159"/>
  <c r="AE82" i="159"/>
  <c r="AA82" i="159"/>
  <c r="W82" i="159"/>
  <c r="S82" i="159"/>
  <c r="O82" i="159"/>
  <c r="J82" i="159"/>
  <c r="BW81" i="159"/>
  <c r="BS81" i="159"/>
  <c r="BO81" i="159"/>
  <c r="BK81" i="159"/>
  <c r="BG81" i="159"/>
  <c r="BC81" i="159"/>
  <c r="AY81" i="159"/>
  <c r="AU81" i="159"/>
  <c r="AQ81" i="159"/>
  <c r="AM81" i="159"/>
  <c r="AI81" i="159"/>
  <c r="AE81" i="159"/>
  <c r="AA81" i="159"/>
  <c r="W81" i="159"/>
  <c r="S81" i="159"/>
  <c r="O81" i="159"/>
  <c r="J81" i="159"/>
  <c r="BW80" i="159"/>
  <c r="BS80" i="159"/>
  <c r="BO80" i="159"/>
  <c r="BK80" i="159"/>
  <c r="BG80" i="159"/>
  <c r="BC80" i="159"/>
  <c r="AY80" i="159"/>
  <c r="AU80" i="159"/>
  <c r="AQ80" i="159"/>
  <c r="AM80" i="159"/>
  <c r="AI80" i="159"/>
  <c r="AE80" i="159"/>
  <c r="AA80" i="159"/>
  <c r="W80" i="159"/>
  <c r="S80" i="159"/>
  <c r="O80" i="159"/>
  <c r="J80" i="159"/>
  <c r="BW79" i="159"/>
  <c r="BS79" i="159"/>
  <c r="BO79" i="159"/>
  <c r="BK79" i="159"/>
  <c r="BG79" i="159"/>
  <c r="BC79" i="159"/>
  <c r="AY79" i="159"/>
  <c r="AU79" i="159"/>
  <c r="AQ79" i="159"/>
  <c r="AM79" i="159"/>
  <c r="AI79" i="159"/>
  <c r="AE79" i="159"/>
  <c r="AA79" i="159"/>
  <c r="W79" i="159"/>
  <c r="S79" i="159"/>
  <c r="O79" i="159"/>
  <c r="J79" i="159"/>
  <c r="BW78" i="159"/>
  <c r="BS78" i="159"/>
  <c r="BO78" i="159"/>
  <c r="BK78" i="159"/>
  <c r="BG78" i="159"/>
  <c r="BC78" i="159"/>
  <c r="AY78" i="159"/>
  <c r="AU78" i="159"/>
  <c r="AQ78" i="159"/>
  <c r="AM78" i="159"/>
  <c r="AI78" i="159"/>
  <c r="AE78" i="159"/>
  <c r="AA78" i="159"/>
  <c r="W78" i="159"/>
  <c r="S78" i="159"/>
  <c r="O78" i="159"/>
  <c r="J78" i="159"/>
  <c r="BW77" i="159"/>
  <c r="BS77" i="159"/>
  <c r="BO77" i="159"/>
  <c r="BK77" i="159"/>
  <c r="BG77" i="159"/>
  <c r="BC77" i="159"/>
  <c r="AY77" i="159"/>
  <c r="AU77" i="159"/>
  <c r="AQ77" i="159"/>
  <c r="AM77" i="159"/>
  <c r="AI77" i="159"/>
  <c r="AE77" i="159"/>
  <c r="AA77" i="159"/>
  <c r="W77" i="159"/>
  <c r="S77" i="159"/>
  <c r="O77" i="159"/>
  <c r="J77" i="159"/>
  <c r="BW76" i="159"/>
  <c r="BS76" i="159"/>
  <c r="BO76" i="159"/>
  <c r="BK76" i="159"/>
  <c r="BG76" i="159"/>
  <c r="BC76" i="159"/>
  <c r="AY76" i="159"/>
  <c r="AU76" i="159"/>
  <c r="AQ76" i="159"/>
  <c r="AM76" i="159"/>
  <c r="AI76" i="159"/>
  <c r="AE76" i="159"/>
  <c r="AA76" i="159"/>
  <c r="W76" i="159"/>
  <c r="S76" i="159"/>
  <c r="O76" i="159"/>
  <c r="J76" i="159"/>
  <c r="BW75" i="159"/>
  <c r="BS75" i="159"/>
  <c r="BO75" i="159"/>
  <c r="BK75" i="159"/>
  <c r="BG75" i="159"/>
  <c r="BC75" i="159"/>
  <c r="AY75" i="159"/>
  <c r="AU75" i="159"/>
  <c r="AQ75" i="159"/>
  <c r="AM75" i="159"/>
  <c r="AI75" i="159"/>
  <c r="AE75" i="159"/>
  <c r="AA75" i="159"/>
  <c r="W75" i="159"/>
  <c r="S75" i="159"/>
  <c r="O75" i="159"/>
  <c r="J75" i="159"/>
  <c r="BW74" i="159"/>
  <c r="BS74" i="159"/>
  <c r="BO74" i="159"/>
  <c r="BK74" i="159"/>
  <c r="BG74" i="159"/>
  <c r="BC74" i="159"/>
  <c r="AY74" i="159"/>
  <c r="AU74" i="159"/>
  <c r="AQ74" i="159"/>
  <c r="AM74" i="159"/>
  <c r="AI74" i="159"/>
  <c r="AE74" i="159"/>
  <c r="AA74" i="159"/>
  <c r="W74" i="159"/>
  <c r="S74" i="159"/>
  <c r="O74" i="159"/>
  <c r="J74" i="159"/>
  <c r="BW73" i="159"/>
  <c r="BS73" i="159"/>
  <c r="BO73" i="159"/>
  <c r="BK73" i="159"/>
  <c r="BG73" i="159"/>
  <c r="BC73" i="159"/>
  <c r="AY73" i="159"/>
  <c r="AU73" i="159"/>
  <c r="AQ73" i="159"/>
  <c r="AM73" i="159"/>
  <c r="AI73" i="159"/>
  <c r="AE73" i="159"/>
  <c r="AA73" i="159"/>
  <c r="W73" i="159"/>
  <c r="S73" i="159"/>
  <c r="O73" i="159"/>
  <c r="J73" i="159"/>
  <c r="BW72" i="159"/>
  <c r="BS72" i="159"/>
  <c r="BO72" i="159"/>
  <c r="BK72" i="159"/>
  <c r="BG72" i="159"/>
  <c r="BC72" i="159"/>
  <c r="AY72" i="159"/>
  <c r="AU72" i="159"/>
  <c r="AQ72" i="159"/>
  <c r="AM72" i="159"/>
  <c r="AI72" i="159"/>
  <c r="AE72" i="159"/>
  <c r="AA72" i="159"/>
  <c r="W72" i="159"/>
  <c r="S72" i="159"/>
  <c r="O72" i="159"/>
  <c r="J72" i="159"/>
  <c r="BW71" i="159"/>
  <c r="BS71" i="159"/>
  <c r="BO71" i="159"/>
  <c r="BK71" i="159"/>
  <c r="BG71" i="159"/>
  <c r="BC71" i="159"/>
  <c r="AY71" i="159"/>
  <c r="AU71" i="159"/>
  <c r="AQ71" i="159"/>
  <c r="AM71" i="159"/>
  <c r="AI71" i="159"/>
  <c r="AE71" i="159"/>
  <c r="AA71" i="159"/>
  <c r="W71" i="159"/>
  <c r="S71" i="159"/>
  <c r="O71" i="159"/>
  <c r="J71" i="159"/>
  <c r="BW70" i="159"/>
  <c r="BS70" i="159"/>
  <c r="BO70" i="159"/>
  <c r="BK70" i="159"/>
  <c r="BG70" i="159"/>
  <c r="BC70" i="159"/>
  <c r="AY70" i="159"/>
  <c r="AU70" i="159"/>
  <c r="AQ70" i="159"/>
  <c r="AM70" i="159"/>
  <c r="AI70" i="159"/>
  <c r="AE70" i="159"/>
  <c r="AA70" i="159"/>
  <c r="W70" i="159"/>
  <c r="S70" i="159"/>
  <c r="O70" i="159"/>
  <c r="J70" i="159"/>
  <c r="BW69" i="159"/>
  <c r="BS69" i="159"/>
  <c r="BO69" i="159"/>
  <c r="BK69" i="159"/>
  <c r="BG69" i="159"/>
  <c r="BC69" i="159"/>
  <c r="AY69" i="159"/>
  <c r="AU69" i="159"/>
  <c r="AQ69" i="159"/>
  <c r="AM69" i="159"/>
  <c r="AI69" i="159"/>
  <c r="AE69" i="159"/>
  <c r="AA69" i="159"/>
  <c r="W69" i="159"/>
  <c r="S69" i="159"/>
  <c r="O69" i="159"/>
  <c r="J69" i="159"/>
  <c r="BW68" i="159"/>
  <c r="BS68" i="159"/>
  <c r="BO68" i="159"/>
  <c r="BK68" i="159"/>
  <c r="BG68" i="159"/>
  <c r="BC68" i="159"/>
  <c r="AY68" i="159"/>
  <c r="AU68" i="159"/>
  <c r="AQ68" i="159"/>
  <c r="AM68" i="159"/>
  <c r="AI68" i="159"/>
  <c r="AE68" i="159"/>
  <c r="AA68" i="159"/>
  <c r="W68" i="159"/>
  <c r="S68" i="159"/>
  <c r="O68" i="159"/>
  <c r="J68" i="159"/>
  <c r="BW67" i="159"/>
  <c r="BS67" i="159"/>
  <c r="BO67" i="159"/>
  <c r="BK67" i="159"/>
  <c r="BG67" i="159"/>
  <c r="BC67" i="159"/>
  <c r="AY67" i="159"/>
  <c r="AU67" i="159"/>
  <c r="AQ67" i="159"/>
  <c r="AM67" i="159"/>
  <c r="AI67" i="159"/>
  <c r="AE67" i="159"/>
  <c r="AA67" i="159"/>
  <c r="W67" i="159"/>
  <c r="S67" i="159"/>
  <c r="O67" i="159"/>
  <c r="J67" i="159"/>
  <c r="BW66" i="159"/>
  <c r="BS66" i="159"/>
  <c r="BO66" i="159"/>
  <c r="BK66" i="159"/>
  <c r="BG66" i="159"/>
  <c r="BC66" i="159"/>
  <c r="AY66" i="159"/>
  <c r="AU66" i="159"/>
  <c r="AQ66" i="159"/>
  <c r="AM66" i="159"/>
  <c r="AI66" i="159"/>
  <c r="AE66" i="159"/>
  <c r="AA66" i="159"/>
  <c r="W66" i="159"/>
  <c r="S66" i="159"/>
  <c r="O66" i="159"/>
  <c r="J66" i="159"/>
  <c r="BW65" i="159"/>
  <c r="BS65" i="159"/>
  <c r="BO65" i="159"/>
  <c r="BK65" i="159"/>
  <c r="BG65" i="159"/>
  <c r="BC65" i="159"/>
  <c r="AY65" i="159"/>
  <c r="AU65" i="159"/>
  <c r="AQ65" i="159"/>
  <c r="AM65" i="159"/>
  <c r="AI65" i="159"/>
  <c r="AE65" i="159"/>
  <c r="AA65" i="159"/>
  <c r="W65" i="159"/>
  <c r="S65" i="159"/>
  <c r="O65" i="159"/>
  <c r="J65" i="159"/>
  <c r="BW64" i="159"/>
  <c r="BS64" i="159"/>
  <c r="BO64" i="159"/>
  <c r="BK64" i="159"/>
  <c r="BG64" i="159"/>
  <c r="BC64" i="159"/>
  <c r="AY64" i="159"/>
  <c r="AU64" i="159"/>
  <c r="AQ64" i="159"/>
  <c r="AM64" i="159"/>
  <c r="AI64" i="159"/>
  <c r="AE64" i="159"/>
  <c r="AA64" i="159"/>
  <c r="W64" i="159"/>
  <c r="S64" i="159"/>
  <c r="O64" i="159"/>
  <c r="J64" i="159"/>
  <c r="BW63" i="159"/>
  <c r="BS63" i="159"/>
  <c r="BO63" i="159"/>
  <c r="BK63" i="159"/>
  <c r="BG63" i="159"/>
  <c r="BC63" i="159"/>
  <c r="AY63" i="159"/>
  <c r="AU63" i="159"/>
  <c r="AQ63" i="159"/>
  <c r="AM63" i="159"/>
  <c r="AI63" i="159"/>
  <c r="AE63" i="159"/>
  <c r="AA63" i="159"/>
  <c r="W63" i="159"/>
  <c r="S63" i="159"/>
  <c r="O63" i="159"/>
  <c r="J63" i="159"/>
  <c r="BW62" i="159"/>
  <c r="BS62" i="159"/>
  <c r="BO62" i="159"/>
  <c r="BK62" i="159"/>
  <c r="BG62" i="159"/>
  <c r="BC62" i="159"/>
  <c r="AY62" i="159"/>
  <c r="AU62" i="159"/>
  <c r="AQ62" i="159"/>
  <c r="AM62" i="159"/>
  <c r="AI62" i="159"/>
  <c r="AE62" i="159"/>
  <c r="AA62" i="159"/>
  <c r="W62" i="159"/>
  <c r="S62" i="159"/>
  <c r="O62" i="159"/>
  <c r="J62" i="159"/>
  <c r="BW61" i="159"/>
  <c r="BS61" i="159"/>
  <c r="BO61" i="159"/>
  <c r="BK61" i="159"/>
  <c r="BG61" i="159"/>
  <c r="BC61" i="159"/>
  <c r="AY61" i="159"/>
  <c r="AU61" i="159"/>
  <c r="AQ61" i="159"/>
  <c r="AM61" i="159"/>
  <c r="AI61" i="159"/>
  <c r="AE61" i="159"/>
  <c r="AA61" i="159"/>
  <c r="W61" i="159"/>
  <c r="S61" i="159"/>
  <c r="O61" i="159"/>
  <c r="J61" i="159"/>
  <c r="BW60" i="159"/>
  <c r="BS60" i="159"/>
  <c r="BO60" i="159"/>
  <c r="BK60" i="159"/>
  <c r="BG60" i="159"/>
  <c r="BC60" i="159"/>
  <c r="AY60" i="159"/>
  <c r="AU60" i="159"/>
  <c r="AQ60" i="159"/>
  <c r="AM60" i="159"/>
  <c r="AI60" i="159"/>
  <c r="AE60" i="159"/>
  <c r="AA60" i="159"/>
  <c r="W60" i="159"/>
  <c r="S60" i="159"/>
  <c r="O60" i="159"/>
  <c r="J60" i="159"/>
  <c r="BW59" i="159"/>
  <c r="BS59" i="159"/>
  <c r="BO59" i="159"/>
  <c r="BK59" i="159"/>
  <c r="BG59" i="159"/>
  <c r="BC59" i="159"/>
  <c r="AY59" i="159"/>
  <c r="AU59" i="159"/>
  <c r="AQ59" i="159"/>
  <c r="AM59" i="159"/>
  <c r="AI59" i="159"/>
  <c r="AE59" i="159"/>
  <c r="AA59" i="159"/>
  <c r="W59" i="159"/>
  <c r="S59" i="159"/>
  <c r="O59" i="159"/>
  <c r="J59" i="159"/>
  <c r="BW58" i="159"/>
  <c r="BS58" i="159"/>
  <c r="BO58" i="159"/>
  <c r="BK58" i="159"/>
  <c r="BG58" i="159"/>
  <c r="BC58" i="159"/>
  <c r="AY58" i="159"/>
  <c r="AU58" i="159"/>
  <c r="AQ58" i="159"/>
  <c r="AM58" i="159"/>
  <c r="AI58" i="159"/>
  <c r="AE58" i="159"/>
  <c r="AA58" i="159"/>
  <c r="W58" i="159"/>
  <c r="S58" i="159"/>
  <c r="O58" i="159"/>
  <c r="J58" i="159"/>
  <c r="BW57" i="159"/>
  <c r="BS57" i="159"/>
  <c r="BO57" i="159"/>
  <c r="BK57" i="159"/>
  <c r="BG57" i="159"/>
  <c r="BC57" i="159"/>
  <c r="AY57" i="159"/>
  <c r="AU57" i="159"/>
  <c r="AQ57" i="159"/>
  <c r="AM57" i="159"/>
  <c r="AI57" i="159"/>
  <c r="AE57" i="159"/>
  <c r="AA57" i="159"/>
  <c r="W57" i="159"/>
  <c r="S57" i="159"/>
  <c r="O57" i="159"/>
  <c r="J57" i="159"/>
  <c r="BW56" i="159"/>
  <c r="BS56" i="159"/>
  <c r="BO56" i="159"/>
  <c r="BK56" i="159"/>
  <c r="BG56" i="159"/>
  <c r="BC56" i="159"/>
  <c r="AY56" i="159"/>
  <c r="AU56" i="159"/>
  <c r="AQ56" i="159"/>
  <c r="AM56" i="159"/>
  <c r="AI56" i="159"/>
  <c r="AE56" i="159"/>
  <c r="AA56" i="159"/>
  <c r="W56" i="159"/>
  <c r="S56" i="159"/>
  <c r="O56" i="159"/>
  <c r="J56" i="159"/>
  <c r="BW55" i="159"/>
  <c r="BS55" i="159"/>
  <c r="BO55" i="159"/>
  <c r="BK55" i="159"/>
  <c r="BG55" i="159"/>
  <c r="BC55" i="159"/>
  <c r="AY55" i="159"/>
  <c r="AU55" i="159"/>
  <c r="AQ55" i="159"/>
  <c r="AM55" i="159"/>
  <c r="AI55" i="159"/>
  <c r="AE55" i="159"/>
  <c r="AA55" i="159"/>
  <c r="W55" i="159"/>
  <c r="S55" i="159"/>
  <c r="O55" i="159"/>
  <c r="J55" i="159"/>
  <c r="BW54" i="159"/>
  <c r="BS54" i="159"/>
  <c r="BO54" i="159"/>
  <c r="BK54" i="159"/>
  <c r="BG54" i="159"/>
  <c r="BC54" i="159"/>
  <c r="AY54" i="159"/>
  <c r="AU54" i="159"/>
  <c r="AQ54" i="159"/>
  <c r="AM54" i="159"/>
  <c r="AI54" i="159"/>
  <c r="AE54" i="159"/>
  <c r="AA54" i="159"/>
  <c r="W54" i="159"/>
  <c r="S54" i="159"/>
  <c r="O54" i="159"/>
  <c r="J54" i="159"/>
  <c r="BW53" i="159"/>
  <c r="BS53" i="159"/>
  <c r="BO53" i="159"/>
  <c r="BK53" i="159"/>
  <c r="BG53" i="159"/>
  <c r="BC53" i="159"/>
  <c r="AY53" i="159"/>
  <c r="AU53" i="159"/>
  <c r="AQ53" i="159"/>
  <c r="AM53" i="159"/>
  <c r="AI53" i="159"/>
  <c r="AE53" i="159"/>
  <c r="AA53" i="159"/>
  <c r="W53" i="159"/>
  <c r="S53" i="159"/>
  <c r="O53" i="159"/>
  <c r="J53" i="159"/>
  <c r="BW52" i="159"/>
  <c r="BS52" i="159"/>
  <c r="BO52" i="159"/>
  <c r="BK52" i="159"/>
  <c r="BG52" i="159"/>
  <c r="BC52" i="159"/>
  <c r="AY52" i="159"/>
  <c r="AU52" i="159"/>
  <c r="AQ52" i="159"/>
  <c r="AM52" i="159"/>
  <c r="AI52" i="159"/>
  <c r="AE52" i="159"/>
  <c r="AA52" i="159"/>
  <c r="W52" i="159"/>
  <c r="S52" i="159"/>
  <c r="O52" i="159"/>
  <c r="J52" i="159"/>
  <c r="BW51" i="159"/>
  <c r="BS51" i="159"/>
  <c r="BO51" i="159"/>
  <c r="BK51" i="159"/>
  <c r="BG51" i="159"/>
  <c r="BC51" i="159"/>
  <c r="AY51" i="159"/>
  <c r="AU51" i="159"/>
  <c r="AQ51" i="159"/>
  <c r="AM51" i="159"/>
  <c r="AI51" i="159"/>
  <c r="AE51" i="159"/>
  <c r="AA51" i="159"/>
  <c r="W51" i="159"/>
  <c r="S51" i="159"/>
  <c r="O51" i="159"/>
  <c r="J51" i="159"/>
  <c r="BW50" i="159"/>
  <c r="BS50" i="159"/>
  <c r="BO50" i="159"/>
  <c r="BK50" i="159"/>
  <c r="BG50" i="159"/>
  <c r="BC50" i="159"/>
  <c r="AY50" i="159"/>
  <c r="AU50" i="159"/>
  <c r="AQ50" i="159"/>
  <c r="AM50" i="159"/>
  <c r="AI50" i="159"/>
  <c r="AE50" i="159"/>
  <c r="AA50" i="159"/>
  <c r="W50" i="159"/>
  <c r="S50" i="159"/>
  <c r="O50" i="159"/>
  <c r="J50" i="159"/>
  <c r="BW49" i="159"/>
  <c r="BS49" i="159"/>
  <c r="BO49" i="159"/>
  <c r="BK49" i="159"/>
  <c r="BG49" i="159"/>
  <c r="BC49" i="159"/>
  <c r="AY49" i="159"/>
  <c r="AU49" i="159"/>
  <c r="AQ49" i="159"/>
  <c r="AM49" i="159"/>
  <c r="AI49" i="159"/>
  <c r="AE49" i="159"/>
  <c r="AA49" i="159"/>
  <c r="W49" i="159"/>
  <c r="S49" i="159"/>
  <c r="O49" i="159"/>
  <c r="J49" i="159"/>
  <c r="BW48" i="159"/>
  <c r="BS48" i="159"/>
  <c r="BO48" i="159"/>
  <c r="BK48" i="159"/>
  <c r="BG48" i="159"/>
  <c r="BC48" i="159"/>
  <c r="AY48" i="159"/>
  <c r="AU48" i="159"/>
  <c r="AQ48" i="159"/>
  <c r="AM48" i="159"/>
  <c r="AI48" i="159"/>
  <c r="AE48" i="159"/>
  <c r="AA48" i="159"/>
  <c r="W48" i="159"/>
  <c r="S48" i="159"/>
  <c r="O48" i="159"/>
  <c r="J48" i="159"/>
  <c r="BW47" i="159"/>
  <c r="BS47" i="159"/>
  <c r="BO47" i="159"/>
  <c r="BK47" i="159"/>
  <c r="BG47" i="159"/>
  <c r="BC47" i="159"/>
  <c r="AY47" i="159"/>
  <c r="AU47" i="159"/>
  <c r="AQ47" i="159"/>
  <c r="AM47" i="159"/>
  <c r="AI47" i="159"/>
  <c r="AE47" i="159"/>
  <c r="AA47" i="159"/>
  <c r="W47" i="159"/>
  <c r="S47" i="159"/>
  <c r="O47" i="159"/>
  <c r="J47" i="159"/>
  <c r="BW46" i="159"/>
  <c r="BS46" i="159"/>
  <c r="BO46" i="159"/>
  <c r="BK46" i="159"/>
  <c r="BG46" i="159"/>
  <c r="BC46" i="159"/>
  <c r="AY46" i="159"/>
  <c r="AU46" i="159"/>
  <c r="AQ46" i="159"/>
  <c r="AM46" i="159"/>
  <c r="AI46" i="159"/>
  <c r="AE46" i="159"/>
  <c r="AA46" i="159"/>
  <c r="W46" i="159"/>
  <c r="S46" i="159"/>
  <c r="O46" i="159"/>
  <c r="J46" i="159"/>
  <c r="BW45" i="159"/>
  <c r="BS45" i="159"/>
  <c r="BO45" i="159"/>
  <c r="BK45" i="159"/>
  <c r="BG45" i="159"/>
  <c r="BC45" i="159"/>
  <c r="AY45" i="159"/>
  <c r="AU45" i="159"/>
  <c r="AQ45" i="159"/>
  <c r="AM45" i="159"/>
  <c r="AI45" i="159"/>
  <c r="AE45" i="159"/>
  <c r="AA45" i="159"/>
  <c r="W45" i="159"/>
  <c r="S45" i="159"/>
  <c r="O45" i="159"/>
  <c r="J45" i="159"/>
  <c r="BW44" i="159"/>
  <c r="BS44" i="159"/>
  <c r="BO44" i="159"/>
  <c r="BK44" i="159"/>
  <c r="BG44" i="159"/>
  <c r="BC44" i="159"/>
  <c r="AY44" i="159"/>
  <c r="AU44" i="159"/>
  <c r="AQ44" i="159"/>
  <c r="AM44" i="159"/>
  <c r="AI44" i="159"/>
  <c r="AE44" i="159"/>
  <c r="AA44" i="159"/>
  <c r="W44" i="159"/>
  <c r="S44" i="159"/>
  <c r="O44" i="159"/>
  <c r="J44" i="159"/>
  <c r="BW43" i="159"/>
  <c r="BS43" i="159"/>
  <c r="BO43" i="159"/>
  <c r="BK43" i="159"/>
  <c r="BG43" i="159"/>
  <c r="BC43" i="159"/>
  <c r="AY43" i="159"/>
  <c r="AU43" i="159"/>
  <c r="AQ43" i="159"/>
  <c r="AM43" i="159"/>
  <c r="AI43" i="159"/>
  <c r="AE43" i="159"/>
  <c r="AA43" i="159"/>
  <c r="W43" i="159"/>
  <c r="S43" i="159"/>
  <c r="O43" i="159"/>
  <c r="J43" i="159"/>
  <c r="BW42" i="159"/>
  <c r="BS42" i="159"/>
  <c r="BO42" i="159"/>
  <c r="BK42" i="159"/>
  <c r="BG42" i="159"/>
  <c r="BC42" i="159"/>
  <c r="AY42" i="159"/>
  <c r="AU42" i="159"/>
  <c r="AQ42" i="159"/>
  <c r="AM42" i="159"/>
  <c r="AI42" i="159"/>
  <c r="AE42" i="159"/>
  <c r="AA42" i="159"/>
  <c r="W42" i="159"/>
  <c r="S42" i="159"/>
  <c r="O42" i="159"/>
  <c r="J42" i="159"/>
  <c r="BW41" i="159"/>
  <c r="BS41" i="159"/>
  <c r="BO41" i="159"/>
  <c r="BK41" i="159"/>
  <c r="BG41" i="159"/>
  <c r="BC41" i="159"/>
  <c r="AY41" i="159"/>
  <c r="AU41" i="159"/>
  <c r="AQ41" i="159"/>
  <c r="AM41" i="159"/>
  <c r="AI41" i="159"/>
  <c r="AE41" i="159"/>
  <c r="AA41" i="159"/>
  <c r="W41" i="159"/>
  <c r="S41" i="159"/>
  <c r="O41" i="159"/>
  <c r="J41" i="159"/>
  <c r="BW40" i="159"/>
  <c r="BS40" i="159"/>
  <c r="BO40" i="159"/>
  <c r="BK40" i="159"/>
  <c r="BG40" i="159"/>
  <c r="BC40" i="159"/>
  <c r="AY40" i="159"/>
  <c r="AU40" i="159"/>
  <c r="AQ40" i="159"/>
  <c r="AM40" i="159"/>
  <c r="AI40" i="159"/>
  <c r="AE40" i="159"/>
  <c r="AA40" i="159"/>
  <c r="W40" i="159"/>
  <c r="S40" i="159"/>
  <c r="O40" i="159"/>
  <c r="J40" i="159"/>
  <c r="BW39" i="159"/>
  <c r="BS39" i="159"/>
  <c r="BO39" i="159"/>
  <c r="BK39" i="159"/>
  <c r="BG39" i="159"/>
  <c r="BC39" i="159"/>
  <c r="AY39" i="159"/>
  <c r="AU39" i="159"/>
  <c r="AQ39" i="159"/>
  <c r="AM39" i="159"/>
  <c r="AI39" i="159"/>
  <c r="AE39" i="159"/>
  <c r="AA39" i="159"/>
  <c r="W39" i="159"/>
  <c r="S39" i="159"/>
  <c r="O39" i="159"/>
  <c r="J39" i="159"/>
  <c r="BW38" i="159"/>
  <c r="BS38" i="159"/>
  <c r="BO38" i="159"/>
  <c r="BK38" i="159"/>
  <c r="BG38" i="159"/>
  <c r="BC38" i="159"/>
  <c r="AY38" i="159"/>
  <c r="AU38" i="159"/>
  <c r="AQ38" i="159"/>
  <c r="AM38" i="159"/>
  <c r="AI38" i="159"/>
  <c r="AE38" i="159"/>
  <c r="AA38" i="159"/>
  <c r="W38" i="159"/>
  <c r="S38" i="159"/>
  <c r="O38" i="159"/>
  <c r="J38" i="159"/>
  <c r="BW37" i="159"/>
  <c r="BS37" i="159"/>
  <c r="BO37" i="159"/>
  <c r="BK37" i="159"/>
  <c r="BG37" i="159"/>
  <c r="BC37" i="159"/>
  <c r="AY37" i="159"/>
  <c r="AU37" i="159"/>
  <c r="AQ37" i="159"/>
  <c r="AM37" i="159"/>
  <c r="AI37" i="159"/>
  <c r="AE37" i="159"/>
  <c r="AA37" i="159"/>
  <c r="W37" i="159"/>
  <c r="S37" i="159"/>
  <c r="O37" i="159"/>
  <c r="J37" i="159"/>
  <c r="BW36" i="159"/>
  <c r="BS36" i="159"/>
  <c r="BO36" i="159"/>
  <c r="BK36" i="159"/>
  <c r="BG36" i="159"/>
  <c r="BC36" i="159"/>
  <c r="AY36" i="159"/>
  <c r="AU36" i="159"/>
  <c r="AQ36" i="159"/>
  <c r="AM36" i="159"/>
  <c r="AI36" i="159"/>
  <c r="AE36" i="159"/>
  <c r="AA36" i="159"/>
  <c r="W36" i="159"/>
  <c r="S36" i="159"/>
  <c r="O36" i="159"/>
  <c r="J36" i="159"/>
  <c r="BW35" i="159"/>
  <c r="BS35" i="159"/>
  <c r="BO35" i="159"/>
  <c r="BK35" i="159"/>
  <c r="BG35" i="159"/>
  <c r="BC35" i="159"/>
  <c r="AY35" i="159"/>
  <c r="AU35" i="159"/>
  <c r="AQ35" i="159"/>
  <c r="AM35" i="159"/>
  <c r="AI35" i="159"/>
  <c r="AE35" i="159"/>
  <c r="AA35" i="159"/>
  <c r="W35" i="159"/>
  <c r="S35" i="159"/>
  <c r="O35" i="159"/>
  <c r="J35" i="159"/>
  <c r="BW34" i="159"/>
  <c r="BS34" i="159"/>
  <c r="BO34" i="159"/>
  <c r="BK34" i="159"/>
  <c r="BG34" i="159"/>
  <c r="BC34" i="159"/>
  <c r="AY34" i="159"/>
  <c r="AU34" i="159"/>
  <c r="AQ34" i="159"/>
  <c r="AM34" i="159"/>
  <c r="AI34" i="159"/>
  <c r="AE34" i="159"/>
  <c r="AA34" i="159"/>
  <c r="W34" i="159"/>
  <c r="S34" i="159"/>
  <c r="O34" i="159"/>
  <c r="J34" i="159"/>
  <c r="BW33" i="159"/>
  <c r="BS33" i="159"/>
  <c r="BO33" i="159"/>
  <c r="BK33" i="159"/>
  <c r="BG33" i="159"/>
  <c r="BC33" i="159"/>
  <c r="AY33" i="159"/>
  <c r="AU33" i="159"/>
  <c r="AQ33" i="159"/>
  <c r="AM33" i="159"/>
  <c r="AI33" i="159"/>
  <c r="AE33" i="159"/>
  <c r="AA33" i="159"/>
  <c r="W33" i="159"/>
  <c r="S33" i="159"/>
  <c r="O33" i="159"/>
  <c r="J33" i="159"/>
  <c r="BW32" i="159"/>
  <c r="BS32" i="159"/>
  <c r="BO32" i="159"/>
  <c r="BK32" i="159"/>
  <c r="BG32" i="159"/>
  <c r="BC32" i="159"/>
  <c r="AY32" i="159"/>
  <c r="AU32" i="159"/>
  <c r="AQ32" i="159"/>
  <c r="AM32" i="159"/>
  <c r="AI32" i="159"/>
  <c r="AE32" i="159"/>
  <c r="AA32" i="159"/>
  <c r="W32" i="159"/>
  <c r="S32" i="159"/>
  <c r="O32" i="159"/>
  <c r="J32" i="159"/>
  <c r="BW31" i="159"/>
  <c r="BS31" i="159"/>
  <c r="BO31" i="159"/>
  <c r="BK31" i="159"/>
  <c r="BG31" i="159"/>
  <c r="BC31" i="159"/>
  <c r="AY31" i="159"/>
  <c r="AU31" i="159"/>
  <c r="AQ31" i="159"/>
  <c r="AM31" i="159"/>
  <c r="AI31" i="159"/>
  <c r="AE31" i="159"/>
  <c r="AA31" i="159"/>
  <c r="W31" i="159"/>
  <c r="S31" i="159"/>
  <c r="O31" i="159"/>
  <c r="J31" i="159"/>
  <c r="BW30" i="159"/>
  <c r="BS30" i="159"/>
  <c r="BO30" i="159"/>
  <c r="BK30" i="159"/>
  <c r="BG30" i="159"/>
  <c r="BC30" i="159"/>
  <c r="AY30" i="159"/>
  <c r="AU30" i="159"/>
  <c r="AQ30" i="159"/>
  <c r="AM30" i="159"/>
  <c r="AI30" i="159"/>
  <c r="AE30" i="159"/>
  <c r="AA30" i="159"/>
  <c r="W30" i="159"/>
  <c r="S30" i="159"/>
  <c r="O30" i="159"/>
  <c r="J30" i="159"/>
  <c r="BW29" i="159"/>
  <c r="BS29" i="159"/>
  <c r="BO29" i="159"/>
  <c r="BK29" i="159"/>
  <c r="BG29" i="159"/>
  <c r="BC29" i="159"/>
  <c r="AY29" i="159"/>
  <c r="AU29" i="159"/>
  <c r="AQ29" i="159"/>
  <c r="AM29" i="159"/>
  <c r="AI29" i="159"/>
  <c r="AE29" i="159"/>
  <c r="AA29" i="159"/>
  <c r="W29" i="159"/>
  <c r="S29" i="159"/>
  <c r="O29" i="159"/>
  <c r="J29" i="159"/>
  <c r="BW28" i="159"/>
  <c r="BS28" i="159"/>
  <c r="BO28" i="159"/>
  <c r="BK28" i="159"/>
  <c r="BG28" i="159"/>
  <c r="BC28" i="159"/>
  <c r="AY28" i="159"/>
  <c r="AU28" i="159"/>
  <c r="AQ28" i="159"/>
  <c r="AM28" i="159"/>
  <c r="AI28" i="159"/>
  <c r="AE28" i="159"/>
  <c r="AA28" i="159"/>
  <c r="W28" i="159"/>
  <c r="S28" i="159"/>
  <c r="O28" i="159"/>
  <c r="J28" i="159"/>
  <c r="BW27" i="159"/>
  <c r="BS27" i="159"/>
  <c r="BO27" i="159"/>
  <c r="BK27" i="159"/>
  <c r="BG27" i="159"/>
  <c r="BC27" i="159"/>
  <c r="AY27" i="159"/>
  <c r="AU27" i="159"/>
  <c r="AQ27" i="159"/>
  <c r="AM27" i="159"/>
  <c r="AI27" i="159"/>
  <c r="AE27" i="159"/>
  <c r="AA27" i="159"/>
  <c r="W27" i="159"/>
  <c r="S27" i="159"/>
  <c r="O27" i="159"/>
  <c r="J27" i="159"/>
  <c r="BW26" i="159"/>
  <c r="BS26" i="159"/>
  <c r="BO26" i="159"/>
  <c r="BK26" i="159"/>
  <c r="BG26" i="159"/>
  <c r="BC26" i="159"/>
  <c r="AY26" i="159"/>
  <c r="AU26" i="159"/>
  <c r="AQ26" i="159"/>
  <c r="AM26" i="159"/>
  <c r="AI26" i="159"/>
  <c r="AE26" i="159"/>
  <c r="AA26" i="159"/>
  <c r="W26" i="159"/>
  <c r="S26" i="159"/>
  <c r="O26" i="159"/>
  <c r="J26" i="159"/>
  <c r="BW25" i="159"/>
  <c r="BS25" i="159"/>
  <c r="BO25" i="159"/>
  <c r="BK25" i="159"/>
  <c r="BG25" i="159"/>
  <c r="BC25" i="159"/>
  <c r="AY25" i="159"/>
  <c r="AU25" i="159"/>
  <c r="AQ25" i="159"/>
  <c r="AM25" i="159"/>
  <c r="AI25" i="159"/>
  <c r="AE25" i="159"/>
  <c r="AA25" i="159"/>
  <c r="W25" i="159"/>
  <c r="S25" i="159"/>
  <c r="O25" i="159"/>
  <c r="J25" i="159"/>
  <c r="BW24" i="159"/>
  <c r="BS24" i="159"/>
  <c r="BO24" i="159"/>
  <c r="BK24" i="159"/>
  <c r="BG24" i="159"/>
  <c r="BC24" i="159"/>
  <c r="AY24" i="159"/>
  <c r="AU24" i="159"/>
  <c r="AQ24" i="159"/>
  <c r="AM24" i="159"/>
  <c r="AI24" i="159"/>
  <c r="AE24" i="159"/>
  <c r="AA24" i="159"/>
  <c r="W24" i="159"/>
  <c r="S24" i="159"/>
  <c r="O24" i="159"/>
  <c r="J24" i="159"/>
  <c r="BW23" i="159"/>
  <c r="BS23" i="159"/>
  <c r="BO23" i="159"/>
  <c r="BK23" i="159"/>
  <c r="BG23" i="159"/>
  <c r="BC23" i="159"/>
  <c r="AY23" i="159"/>
  <c r="AU23" i="159"/>
  <c r="AQ23" i="159"/>
  <c r="AM23" i="159"/>
  <c r="AI23" i="159"/>
  <c r="AE23" i="159"/>
  <c r="AA23" i="159"/>
  <c r="W23" i="159"/>
  <c r="S23" i="159"/>
  <c r="O23" i="159"/>
  <c r="J23" i="159"/>
  <c r="BW22" i="159"/>
  <c r="BS22" i="159"/>
  <c r="BO22" i="159"/>
  <c r="BK22" i="159"/>
  <c r="BG22" i="159"/>
  <c r="BC22" i="159"/>
  <c r="AY22" i="159"/>
  <c r="AU22" i="159"/>
  <c r="AQ22" i="159"/>
  <c r="AM22" i="159"/>
  <c r="AI22" i="159"/>
  <c r="AE22" i="159"/>
  <c r="AA22" i="159"/>
  <c r="W22" i="159"/>
  <c r="S22" i="159"/>
  <c r="O22" i="159"/>
  <c r="J22" i="159"/>
  <c r="BW21" i="159"/>
  <c r="BS21" i="159"/>
  <c r="BO21" i="159"/>
  <c r="BK21" i="159"/>
  <c r="BG21" i="159"/>
  <c r="BC21" i="159"/>
  <c r="AY21" i="159"/>
  <c r="AU21" i="159"/>
  <c r="AQ21" i="159"/>
  <c r="AM21" i="159"/>
  <c r="AI21" i="159"/>
  <c r="AE21" i="159"/>
  <c r="AA21" i="159"/>
  <c r="W21" i="159"/>
  <c r="S21" i="159"/>
  <c r="O21" i="159"/>
  <c r="J21" i="159"/>
  <c r="BW20" i="159"/>
  <c r="BS20" i="159"/>
  <c r="BO20" i="159"/>
  <c r="BK20" i="159"/>
  <c r="BG20" i="159"/>
  <c r="BC20" i="159"/>
  <c r="AY20" i="159"/>
  <c r="AU20" i="159"/>
  <c r="AQ20" i="159"/>
  <c r="AM20" i="159"/>
  <c r="AI20" i="159"/>
  <c r="AE20" i="159"/>
  <c r="AA20" i="159"/>
  <c r="W20" i="159"/>
  <c r="S20" i="159"/>
  <c r="O20" i="159"/>
  <c r="J20" i="159"/>
  <c r="BW19" i="159"/>
  <c r="BS19" i="159"/>
  <c r="BO19" i="159"/>
  <c r="BK19" i="159"/>
  <c r="BG19" i="159"/>
  <c r="BC19" i="159"/>
  <c r="AY19" i="159"/>
  <c r="AU19" i="159"/>
  <c r="AQ19" i="159"/>
  <c r="AM19" i="159"/>
  <c r="AI19" i="159"/>
  <c r="AE19" i="159"/>
  <c r="AA19" i="159"/>
  <c r="W19" i="159"/>
  <c r="S19" i="159"/>
  <c r="O19" i="159"/>
  <c r="J19" i="159"/>
  <c r="BW18" i="159"/>
  <c r="BS18" i="159"/>
  <c r="BO18" i="159"/>
  <c r="BK18" i="159"/>
  <c r="BG18" i="159"/>
  <c r="BC18" i="159"/>
  <c r="AY18" i="159"/>
  <c r="AU18" i="159"/>
  <c r="AQ18" i="159"/>
  <c r="AM18" i="159"/>
  <c r="AI18" i="159"/>
  <c r="AE18" i="159"/>
  <c r="AA18" i="159"/>
  <c r="W18" i="159"/>
  <c r="S18" i="159"/>
  <c r="O18" i="159"/>
  <c r="J18" i="159"/>
  <c r="BW17" i="159"/>
  <c r="BS17" i="159"/>
  <c r="BO17" i="159"/>
  <c r="BK17" i="159"/>
  <c r="BG17" i="159"/>
  <c r="BC17" i="159"/>
  <c r="AY17" i="159"/>
  <c r="AU17" i="159"/>
  <c r="AQ17" i="159"/>
  <c r="AM17" i="159"/>
  <c r="AI17" i="159"/>
  <c r="AE17" i="159"/>
  <c r="AA17" i="159"/>
  <c r="W17" i="159"/>
  <c r="S17" i="159"/>
  <c r="O17" i="159"/>
  <c r="J17" i="159"/>
  <c r="BW16" i="159"/>
  <c r="BS16" i="159"/>
  <c r="BO16" i="159"/>
  <c r="BK16" i="159"/>
  <c r="BG16" i="159"/>
  <c r="BC16" i="159"/>
  <c r="AY16" i="159"/>
  <c r="AU16" i="159"/>
  <c r="AQ16" i="159"/>
  <c r="AM16" i="159"/>
  <c r="AI16" i="159"/>
  <c r="AE16" i="159"/>
  <c r="AA16" i="159"/>
  <c r="W16" i="159"/>
  <c r="S16" i="159"/>
  <c r="O16" i="159"/>
  <c r="J16" i="159"/>
  <c r="BW15" i="159"/>
  <c r="BS15" i="159"/>
  <c r="BO15" i="159"/>
  <c r="BK15" i="159"/>
  <c r="BG15" i="159"/>
  <c r="BC15" i="159"/>
  <c r="AY15" i="159"/>
  <c r="AU15" i="159"/>
  <c r="AQ15" i="159"/>
  <c r="AM15" i="159"/>
  <c r="AI15" i="159"/>
  <c r="AE15" i="159"/>
  <c r="AA15" i="159"/>
  <c r="W15" i="159"/>
  <c r="S15" i="159"/>
  <c r="O15" i="159"/>
  <c r="J15" i="159"/>
  <c r="BW14" i="159"/>
  <c r="BS14" i="159"/>
  <c r="BO14" i="159"/>
  <c r="BK14" i="159"/>
  <c r="BG14" i="159"/>
  <c r="BC14" i="159"/>
  <c r="AY14" i="159"/>
  <c r="AU14" i="159"/>
  <c r="AQ14" i="159"/>
  <c r="AM14" i="159"/>
  <c r="AI14" i="159"/>
  <c r="AE14" i="159"/>
  <c r="AA14" i="159"/>
  <c r="W14" i="159"/>
  <c r="S14" i="159"/>
  <c r="O14" i="159"/>
  <c r="J14" i="159"/>
  <c r="BW13" i="159"/>
  <c r="BS13" i="159"/>
  <c r="BO13" i="159"/>
  <c r="BK13" i="159"/>
  <c r="BG13" i="159"/>
  <c r="BC13" i="159"/>
  <c r="AY13" i="159"/>
  <c r="AU13" i="159"/>
  <c r="AQ13" i="159"/>
  <c r="AM13" i="159"/>
  <c r="AI13" i="159"/>
  <c r="AE13" i="159"/>
  <c r="AA13" i="159"/>
  <c r="W13" i="159"/>
  <c r="S13" i="159"/>
  <c r="O13" i="159"/>
  <c r="J13" i="159"/>
  <c r="BW12" i="159"/>
  <c r="BS12" i="159"/>
  <c r="BO12" i="159"/>
  <c r="BK12" i="159"/>
  <c r="BG12" i="159"/>
  <c r="BC12" i="159"/>
  <c r="AY12" i="159"/>
  <c r="AU12" i="159"/>
  <c r="AQ12" i="159"/>
  <c r="AM12" i="159"/>
  <c r="AI12" i="159"/>
  <c r="AE12" i="159"/>
  <c r="AA12" i="159"/>
  <c r="W12" i="159"/>
  <c r="S12" i="159"/>
  <c r="O12" i="159"/>
  <c r="J12" i="159"/>
  <c r="BW11" i="159"/>
  <c r="BS11" i="159"/>
  <c r="BO11" i="159"/>
  <c r="BK11" i="159"/>
  <c r="BG11" i="159"/>
  <c r="BC11" i="159"/>
  <c r="AY11" i="159"/>
  <c r="AU11" i="159"/>
  <c r="AQ11" i="159"/>
  <c r="AM11" i="159"/>
  <c r="AI11" i="159"/>
  <c r="AE11" i="159"/>
  <c r="AA11" i="159"/>
  <c r="W11" i="159"/>
  <c r="S11" i="159"/>
  <c r="O11" i="159"/>
  <c r="J11" i="159"/>
  <c r="BW10" i="159"/>
  <c r="BS10" i="159"/>
  <c r="BO10" i="159"/>
  <c r="BK10" i="159"/>
  <c r="BG10" i="159"/>
  <c r="BC10" i="159"/>
  <c r="AY10" i="159"/>
  <c r="AU10" i="159"/>
  <c r="AQ10" i="159"/>
  <c r="AM10" i="159"/>
  <c r="AI10" i="159"/>
  <c r="AE10" i="159"/>
  <c r="AA10" i="159"/>
  <c r="W10" i="159"/>
  <c r="S10" i="159"/>
  <c r="O10" i="159"/>
  <c r="J10" i="159"/>
  <c r="BW9" i="159"/>
  <c r="BS9" i="159"/>
  <c r="BO9" i="159"/>
  <c r="BK9" i="159"/>
  <c r="BG9" i="159"/>
  <c r="BC9" i="159"/>
  <c r="AY9" i="159"/>
  <c r="AU9" i="159"/>
  <c r="AQ9" i="159"/>
  <c r="AM9" i="159"/>
  <c r="AI9" i="159"/>
  <c r="AE9" i="159"/>
  <c r="AA9" i="159"/>
  <c r="W9" i="159"/>
  <c r="S9" i="159"/>
  <c r="O9" i="159"/>
  <c r="J9" i="159"/>
  <c r="BW8" i="159"/>
  <c r="BS8" i="159"/>
  <c r="BO8" i="159"/>
  <c r="BK8" i="159"/>
  <c r="BG8" i="159"/>
  <c r="BC8" i="159"/>
  <c r="AY8" i="159"/>
  <c r="AU8" i="159"/>
  <c r="AQ8" i="159"/>
  <c r="AM8" i="159"/>
  <c r="AI8" i="159"/>
  <c r="AE8" i="159"/>
  <c r="AA8" i="159"/>
  <c r="W8" i="159"/>
  <c r="S8" i="159"/>
  <c r="O8" i="159"/>
  <c r="J8" i="159"/>
  <c r="BW7" i="159"/>
  <c r="BS7" i="159"/>
  <c r="BO7" i="159"/>
  <c r="BK7" i="159"/>
  <c r="BG7" i="159"/>
  <c r="BC7" i="159"/>
  <c r="AY7" i="159"/>
  <c r="AU7" i="159"/>
  <c r="AQ7" i="159"/>
  <c r="AM7" i="159"/>
  <c r="AI7" i="159"/>
  <c r="AE7" i="159"/>
  <c r="AA7" i="159"/>
  <c r="W7" i="159"/>
  <c r="S7" i="159"/>
  <c r="O7" i="159"/>
  <c r="J7" i="159"/>
  <c r="BT6" i="159"/>
  <c r="BN6" i="159"/>
  <c r="BO6" i="159" s="1"/>
  <c r="BH6" i="159"/>
  <c r="BB6" i="159"/>
  <c r="BC6" i="159" s="1"/>
  <c r="AV6" i="159"/>
  <c r="AP6" i="159"/>
  <c r="AQ6" i="159" s="1"/>
  <c r="AJ6" i="159"/>
  <c r="AD6" i="159"/>
  <c r="AE6" i="159" s="1"/>
  <c r="X6" i="159"/>
  <c r="R6" i="159"/>
  <c r="S6" i="159" s="1"/>
  <c r="L6" i="159"/>
  <c r="BL5" i="159"/>
  <c r="BO5" i="159" s="1"/>
  <c r="AZ5" i="159"/>
  <c r="BC5" i="159" s="1"/>
  <c r="AN5" i="159"/>
  <c r="AQ5" i="159" s="1"/>
  <c r="AB5" i="159"/>
  <c r="AE5" i="159" s="1"/>
  <c r="P5" i="159"/>
  <c r="S5" i="159" s="1"/>
  <c r="BS4" i="159"/>
  <c r="BT5" i="159" s="1"/>
  <c r="BW5" i="159" s="1"/>
  <c r="BO4" i="159"/>
  <c r="BP6" i="159" s="1"/>
  <c r="BK4" i="159"/>
  <c r="BL4" i="159" s="1"/>
  <c r="BG4" i="159"/>
  <c r="BH4" i="159" s="1"/>
  <c r="BC4" i="159"/>
  <c r="BD6" i="159" s="1"/>
  <c r="AY4" i="159"/>
  <c r="BA6" i="159" s="1"/>
  <c r="AU4" i="159"/>
  <c r="AV5" i="159" s="1"/>
  <c r="AY5" i="159" s="1"/>
  <c r="AQ4" i="159"/>
  <c r="AR5" i="159" s="1"/>
  <c r="AU5" i="159" s="1"/>
  <c r="AM4" i="159"/>
  <c r="AN4" i="159" s="1"/>
  <c r="AI4" i="159"/>
  <c r="AJ4" i="159" s="1"/>
  <c r="AE4" i="159"/>
  <c r="AF6" i="159" s="1"/>
  <c r="AA4" i="159"/>
  <c r="AC6" i="159" s="1"/>
  <c r="W4" i="159"/>
  <c r="X5" i="159" s="1"/>
  <c r="AA5" i="159" s="1"/>
  <c r="S4" i="159"/>
  <c r="T6" i="159" s="1"/>
  <c r="O4" i="159"/>
  <c r="P4" i="159" s="1"/>
  <c r="K4" i="159"/>
  <c r="L4" i="159" s="1"/>
  <c r="J4" i="159"/>
  <c r="BT3" i="159"/>
  <c r="BP3" i="159"/>
  <c r="BL3" i="159"/>
  <c r="BH3" i="159"/>
  <c r="BD3" i="159"/>
  <c r="AZ3" i="159"/>
  <c r="AV3" i="159"/>
  <c r="AR3" i="159"/>
  <c r="AN3" i="159"/>
  <c r="AJ3" i="159"/>
  <c r="AF3" i="159"/>
  <c r="AB3" i="159"/>
  <c r="X3" i="159"/>
  <c r="T3" i="159"/>
  <c r="P3" i="159"/>
  <c r="L3" i="159"/>
  <c r="J3" i="159"/>
  <c r="J2" i="159"/>
  <c r="F1" i="159"/>
  <c r="BW82" i="158"/>
  <c r="BS82" i="158"/>
  <c r="BO82" i="158"/>
  <c r="BK82" i="158"/>
  <c r="BG82" i="158"/>
  <c r="BC82" i="158"/>
  <c r="AY82" i="158"/>
  <c r="AU82" i="158"/>
  <c r="AQ82" i="158"/>
  <c r="AM82" i="158"/>
  <c r="AI82" i="158"/>
  <c r="AE82" i="158"/>
  <c r="AA82" i="158"/>
  <c r="W82" i="158"/>
  <c r="S82" i="158"/>
  <c r="O82" i="158"/>
  <c r="J82" i="158"/>
  <c r="BW81" i="158"/>
  <c r="BS81" i="158"/>
  <c r="BO81" i="158"/>
  <c r="BK81" i="158"/>
  <c r="BG81" i="158"/>
  <c r="BC81" i="158"/>
  <c r="AY81" i="158"/>
  <c r="AU81" i="158"/>
  <c r="AQ81" i="158"/>
  <c r="AM81" i="158"/>
  <c r="AI81" i="158"/>
  <c r="AE81" i="158"/>
  <c r="AA81" i="158"/>
  <c r="W81" i="158"/>
  <c r="S81" i="158"/>
  <c r="O81" i="158"/>
  <c r="J81" i="158"/>
  <c r="BW80" i="158"/>
  <c r="BS80" i="158"/>
  <c r="BO80" i="158"/>
  <c r="BK80" i="158"/>
  <c r="BG80" i="158"/>
  <c r="BC80" i="158"/>
  <c r="AY80" i="158"/>
  <c r="AU80" i="158"/>
  <c r="AQ80" i="158"/>
  <c r="AM80" i="158"/>
  <c r="AI80" i="158"/>
  <c r="AE80" i="158"/>
  <c r="AA80" i="158"/>
  <c r="W80" i="158"/>
  <c r="S80" i="158"/>
  <c r="O80" i="158"/>
  <c r="J80" i="158"/>
  <c r="BW79" i="158"/>
  <c r="BS79" i="158"/>
  <c r="BO79" i="158"/>
  <c r="BK79" i="158"/>
  <c r="BG79" i="158"/>
  <c r="BC79" i="158"/>
  <c r="AY79" i="158"/>
  <c r="AU79" i="158"/>
  <c r="AQ79" i="158"/>
  <c r="AM79" i="158"/>
  <c r="AI79" i="158"/>
  <c r="AE79" i="158"/>
  <c r="AA79" i="158"/>
  <c r="W79" i="158"/>
  <c r="S79" i="158"/>
  <c r="O79" i="158"/>
  <c r="J79" i="158"/>
  <c r="BW78" i="158"/>
  <c r="BS78" i="158"/>
  <c r="BO78" i="158"/>
  <c r="BK78" i="158"/>
  <c r="BG78" i="158"/>
  <c r="BC78" i="158"/>
  <c r="AY78" i="158"/>
  <c r="AU78" i="158"/>
  <c r="AQ78" i="158"/>
  <c r="AM78" i="158"/>
  <c r="AI78" i="158"/>
  <c r="AE78" i="158"/>
  <c r="AA78" i="158"/>
  <c r="W78" i="158"/>
  <c r="S78" i="158"/>
  <c r="O78" i="158"/>
  <c r="J78" i="158"/>
  <c r="BW77" i="158"/>
  <c r="BS77" i="158"/>
  <c r="BO77" i="158"/>
  <c r="BK77" i="158"/>
  <c r="BG77" i="158"/>
  <c r="BC77" i="158"/>
  <c r="AY77" i="158"/>
  <c r="AU77" i="158"/>
  <c r="AQ77" i="158"/>
  <c r="AM77" i="158"/>
  <c r="AI77" i="158"/>
  <c r="AE77" i="158"/>
  <c r="AA77" i="158"/>
  <c r="W77" i="158"/>
  <c r="S77" i="158"/>
  <c r="O77" i="158"/>
  <c r="J77" i="158"/>
  <c r="BW76" i="158"/>
  <c r="BS76" i="158"/>
  <c r="BO76" i="158"/>
  <c r="BK76" i="158"/>
  <c r="BG76" i="158"/>
  <c r="BC76" i="158"/>
  <c r="AY76" i="158"/>
  <c r="AU76" i="158"/>
  <c r="AQ76" i="158"/>
  <c r="AM76" i="158"/>
  <c r="AI76" i="158"/>
  <c r="AE76" i="158"/>
  <c r="AA76" i="158"/>
  <c r="W76" i="158"/>
  <c r="S76" i="158"/>
  <c r="O76" i="158"/>
  <c r="J76" i="158"/>
  <c r="BW75" i="158"/>
  <c r="BS75" i="158"/>
  <c r="BO75" i="158"/>
  <c r="BK75" i="158"/>
  <c r="BG75" i="158"/>
  <c r="BC75" i="158"/>
  <c r="AY75" i="158"/>
  <c r="AU75" i="158"/>
  <c r="AQ75" i="158"/>
  <c r="AM75" i="158"/>
  <c r="AI75" i="158"/>
  <c r="AE75" i="158"/>
  <c r="AA75" i="158"/>
  <c r="W75" i="158"/>
  <c r="S75" i="158"/>
  <c r="O75" i="158"/>
  <c r="J75" i="158"/>
  <c r="BW74" i="158"/>
  <c r="BS74" i="158"/>
  <c r="BO74" i="158"/>
  <c r="BK74" i="158"/>
  <c r="BG74" i="158"/>
  <c r="BC74" i="158"/>
  <c r="AY74" i="158"/>
  <c r="AU74" i="158"/>
  <c r="AQ74" i="158"/>
  <c r="AM74" i="158"/>
  <c r="AI74" i="158"/>
  <c r="AE74" i="158"/>
  <c r="AA74" i="158"/>
  <c r="W74" i="158"/>
  <c r="S74" i="158"/>
  <c r="O74" i="158"/>
  <c r="J74" i="158"/>
  <c r="BW73" i="158"/>
  <c r="BS73" i="158"/>
  <c r="BO73" i="158"/>
  <c r="BK73" i="158"/>
  <c r="BG73" i="158"/>
  <c r="BC73" i="158"/>
  <c r="AY73" i="158"/>
  <c r="AU73" i="158"/>
  <c r="AQ73" i="158"/>
  <c r="AM73" i="158"/>
  <c r="AI73" i="158"/>
  <c r="AE73" i="158"/>
  <c r="AA73" i="158"/>
  <c r="W73" i="158"/>
  <c r="S73" i="158"/>
  <c r="O73" i="158"/>
  <c r="J73" i="158"/>
  <c r="BW72" i="158"/>
  <c r="BS72" i="158"/>
  <c r="BO72" i="158"/>
  <c r="BK72" i="158"/>
  <c r="BG72" i="158"/>
  <c r="BC72" i="158"/>
  <c r="AY72" i="158"/>
  <c r="AU72" i="158"/>
  <c r="AQ72" i="158"/>
  <c r="AM72" i="158"/>
  <c r="AI72" i="158"/>
  <c r="AE72" i="158"/>
  <c r="AA72" i="158"/>
  <c r="W72" i="158"/>
  <c r="S72" i="158"/>
  <c r="O72" i="158"/>
  <c r="J72" i="158"/>
  <c r="BW71" i="158"/>
  <c r="BS71" i="158"/>
  <c r="BO71" i="158"/>
  <c r="BK71" i="158"/>
  <c r="BG71" i="158"/>
  <c r="BC71" i="158"/>
  <c r="AY71" i="158"/>
  <c r="AU71" i="158"/>
  <c r="AQ71" i="158"/>
  <c r="AM71" i="158"/>
  <c r="AI71" i="158"/>
  <c r="AE71" i="158"/>
  <c r="AA71" i="158"/>
  <c r="W71" i="158"/>
  <c r="S71" i="158"/>
  <c r="O71" i="158"/>
  <c r="J71" i="158"/>
  <c r="BW70" i="158"/>
  <c r="BS70" i="158"/>
  <c r="BO70" i="158"/>
  <c r="BK70" i="158"/>
  <c r="BG70" i="158"/>
  <c r="BC70" i="158"/>
  <c r="AY70" i="158"/>
  <c r="AU70" i="158"/>
  <c r="AQ70" i="158"/>
  <c r="AM70" i="158"/>
  <c r="AI70" i="158"/>
  <c r="AE70" i="158"/>
  <c r="AA70" i="158"/>
  <c r="W70" i="158"/>
  <c r="S70" i="158"/>
  <c r="O70" i="158"/>
  <c r="J70" i="158"/>
  <c r="BW69" i="158"/>
  <c r="BS69" i="158"/>
  <c r="BO69" i="158"/>
  <c r="BK69" i="158"/>
  <c r="BG69" i="158"/>
  <c r="BC69" i="158"/>
  <c r="AY69" i="158"/>
  <c r="AU69" i="158"/>
  <c r="AQ69" i="158"/>
  <c r="AM69" i="158"/>
  <c r="AI69" i="158"/>
  <c r="AE69" i="158"/>
  <c r="AA69" i="158"/>
  <c r="W69" i="158"/>
  <c r="S69" i="158"/>
  <c r="O69" i="158"/>
  <c r="J69" i="158"/>
  <c r="BW68" i="158"/>
  <c r="BS68" i="158"/>
  <c r="BO68" i="158"/>
  <c r="BK68" i="158"/>
  <c r="BG68" i="158"/>
  <c r="BC68" i="158"/>
  <c r="AY68" i="158"/>
  <c r="AU68" i="158"/>
  <c r="AQ68" i="158"/>
  <c r="AM68" i="158"/>
  <c r="AI68" i="158"/>
  <c r="AE68" i="158"/>
  <c r="AA68" i="158"/>
  <c r="W68" i="158"/>
  <c r="S68" i="158"/>
  <c r="O68" i="158"/>
  <c r="J68" i="158"/>
  <c r="BW67" i="158"/>
  <c r="BS67" i="158"/>
  <c r="BO67" i="158"/>
  <c r="BK67" i="158"/>
  <c r="BG67" i="158"/>
  <c r="BC67" i="158"/>
  <c r="AY67" i="158"/>
  <c r="AU67" i="158"/>
  <c r="AQ67" i="158"/>
  <c r="AM67" i="158"/>
  <c r="AI67" i="158"/>
  <c r="AE67" i="158"/>
  <c r="AA67" i="158"/>
  <c r="W67" i="158"/>
  <c r="S67" i="158"/>
  <c r="O67" i="158"/>
  <c r="J67" i="158"/>
  <c r="BW66" i="158"/>
  <c r="BS66" i="158"/>
  <c r="BO66" i="158"/>
  <c r="BK66" i="158"/>
  <c r="BG66" i="158"/>
  <c r="BC66" i="158"/>
  <c r="AY66" i="158"/>
  <c r="AU66" i="158"/>
  <c r="AQ66" i="158"/>
  <c r="AM66" i="158"/>
  <c r="AI66" i="158"/>
  <c r="AE66" i="158"/>
  <c r="AA66" i="158"/>
  <c r="W66" i="158"/>
  <c r="S66" i="158"/>
  <c r="O66" i="158"/>
  <c r="J66" i="158"/>
  <c r="BW65" i="158"/>
  <c r="BS65" i="158"/>
  <c r="BO65" i="158"/>
  <c r="BK65" i="158"/>
  <c r="BG65" i="158"/>
  <c r="BC65" i="158"/>
  <c r="AY65" i="158"/>
  <c r="AU65" i="158"/>
  <c r="AQ65" i="158"/>
  <c r="AM65" i="158"/>
  <c r="AI65" i="158"/>
  <c r="AE65" i="158"/>
  <c r="AA65" i="158"/>
  <c r="W65" i="158"/>
  <c r="S65" i="158"/>
  <c r="O65" i="158"/>
  <c r="J65" i="158"/>
  <c r="BW64" i="158"/>
  <c r="BS64" i="158"/>
  <c r="BO64" i="158"/>
  <c r="BK64" i="158"/>
  <c r="BG64" i="158"/>
  <c r="BC64" i="158"/>
  <c r="AY64" i="158"/>
  <c r="AU64" i="158"/>
  <c r="AQ64" i="158"/>
  <c r="AM64" i="158"/>
  <c r="AI64" i="158"/>
  <c r="AE64" i="158"/>
  <c r="AA64" i="158"/>
  <c r="W64" i="158"/>
  <c r="S64" i="158"/>
  <c r="O64" i="158"/>
  <c r="J64" i="158"/>
  <c r="BW63" i="158"/>
  <c r="BS63" i="158"/>
  <c r="BO63" i="158"/>
  <c r="BK63" i="158"/>
  <c r="BG63" i="158"/>
  <c r="BC63" i="158"/>
  <c r="AY63" i="158"/>
  <c r="AU63" i="158"/>
  <c r="AQ63" i="158"/>
  <c r="AM63" i="158"/>
  <c r="AI63" i="158"/>
  <c r="AE63" i="158"/>
  <c r="AA63" i="158"/>
  <c r="W63" i="158"/>
  <c r="S63" i="158"/>
  <c r="O63" i="158"/>
  <c r="J63" i="158"/>
  <c r="BW62" i="158"/>
  <c r="BS62" i="158"/>
  <c r="BO62" i="158"/>
  <c r="BK62" i="158"/>
  <c r="BG62" i="158"/>
  <c r="BC62" i="158"/>
  <c r="AY62" i="158"/>
  <c r="AU62" i="158"/>
  <c r="AQ62" i="158"/>
  <c r="AM62" i="158"/>
  <c r="AI62" i="158"/>
  <c r="AE62" i="158"/>
  <c r="AA62" i="158"/>
  <c r="W62" i="158"/>
  <c r="S62" i="158"/>
  <c r="O62" i="158"/>
  <c r="J62" i="158"/>
  <c r="BW61" i="158"/>
  <c r="BS61" i="158"/>
  <c r="BO61" i="158"/>
  <c r="BK61" i="158"/>
  <c r="BG61" i="158"/>
  <c r="BC61" i="158"/>
  <c r="AY61" i="158"/>
  <c r="AU61" i="158"/>
  <c r="AQ61" i="158"/>
  <c r="AM61" i="158"/>
  <c r="AI61" i="158"/>
  <c r="AE61" i="158"/>
  <c r="AA61" i="158"/>
  <c r="W61" i="158"/>
  <c r="S61" i="158"/>
  <c r="O61" i="158"/>
  <c r="J61" i="158"/>
  <c r="BW60" i="158"/>
  <c r="BS60" i="158"/>
  <c r="BO60" i="158"/>
  <c r="BK60" i="158"/>
  <c r="BG60" i="158"/>
  <c r="BC60" i="158"/>
  <c r="AY60" i="158"/>
  <c r="AU60" i="158"/>
  <c r="AQ60" i="158"/>
  <c r="AM60" i="158"/>
  <c r="AI60" i="158"/>
  <c r="AE60" i="158"/>
  <c r="AA60" i="158"/>
  <c r="W60" i="158"/>
  <c r="S60" i="158"/>
  <c r="O60" i="158"/>
  <c r="J60" i="158"/>
  <c r="BW59" i="158"/>
  <c r="BS59" i="158"/>
  <c r="BO59" i="158"/>
  <c r="BK59" i="158"/>
  <c r="BG59" i="158"/>
  <c r="BC59" i="158"/>
  <c r="AY59" i="158"/>
  <c r="AU59" i="158"/>
  <c r="AQ59" i="158"/>
  <c r="AM59" i="158"/>
  <c r="AI59" i="158"/>
  <c r="AE59" i="158"/>
  <c r="AA59" i="158"/>
  <c r="W59" i="158"/>
  <c r="S59" i="158"/>
  <c r="O59" i="158"/>
  <c r="J59" i="158"/>
  <c r="BW58" i="158"/>
  <c r="BS58" i="158"/>
  <c r="BO58" i="158"/>
  <c r="BK58" i="158"/>
  <c r="BG58" i="158"/>
  <c r="BC58" i="158"/>
  <c r="AY58" i="158"/>
  <c r="AU58" i="158"/>
  <c r="AQ58" i="158"/>
  <c r="AM58" i="158"/>
  <c r="AI58" i="158"/>
  <c r="AE58" i="158"/>
  <c r="AA58" i="158"/>
  <c r="W58" i="158"/>
  <c r="S58" i="158"/>
  <c r="O58" i="158"/>
  <c r="J58" i="158"/>
  <c r="BW57" i="158"/>
  <c r="BS57" i="158"/>
  <c r="BO57" i="158"/>
  <c r="BK57" i="158"/>
  <c r="BG57" i="158"/>
  <c r="BC57" i="158"/>
  <c r="AY57" i="158"/>
  <c r="AU57" i="158"/>
  <c r="AQ57" i="158"/>
  <c r="AM57" i="158"/>
  <c r="AI57" i="158"/>
  <c r="AE57" i="158"/>
  <c r="AA57" i="158"/>
  <c r="W57" i="158"/>
  <c r="S57" i="158"/>
  <c r="O57" i="158"/>
  <c r="J57" i="158"/>
  <c r="BW56" i="158"/>
  <c r="BS56" i="158"/>
  <c r="BO56" i="158"/>
  <c r="BK56" i="158"/>
  <c r="BG56" i="158"/>
  <c r="BC56" i="158"/>
  <c r="AY56" i="158"/>
  <c r="AU56" i="158"/>
  <c r="AQ56" i="158"/>
  <c r="AM56" i="158"/>
  <c r="AI56" i="158"/>
  <c r="AE56" i="158"/>
  <c r="AA56" i="158"/>
  <c r="W56" i="158"/>
  <c r="S56" i="158"/>
  <c r="O56" i="158"/>
  <c r="J56" i="158"/>
  <c r="BW55" i="158"/>
  <c r="BS55" i="158"/>
  <c r="BO55" i="158"/>
  <c r="BK55" i="158"/>
  <c r="BG55" i="158"/>
  <c r="BC55" i="158"/>
  <c r="AY55" i="158"/>
  <c r="AU55" i="158"/>
  <c r="AQ55" i="158"/>
  <c r="AM55" i="158"/>
  <c r="AI55" i="158"/>
  <c r="AE55" i="158"/>
  <c r="AA55" i="158"/>
  <c r="W55" i="158"/>
  <c r="S55" i="158"/>
  <c r="O55" i="158"/>
  <c r="J55" i="158"/>
  <c r="BW54" i="158"/>
  <c r="BS54" i="158"/>
  <c r="BO54" i="158"/>
  <c r="BK54" i="158"/>
  <c r="BG54" i="158"/>
  <c r="BC54" i="158"/>
  <c r="AY54" i="158"/>
  <c r="AU54" i="158"/>
  <c r="AQ54" i="158"/>
  <c r="AM54" i="158"/>
  <c r="AI54" i="158"/>
  <c r="AE54" i="158"/>
  <c r="AA54" i="158"/>
  <c r="W54" i="158"/>
  <c r="S54" i="158"/>
  <c r="O54" i="158"/>
  <c r="J54" i="158"/>
  <c r="BW53" i="158"/>
  <c r="BS53" i="158"/>
  <c r="BO53" i="158"/>
  <c r="BK53" i="158"/>
  <c r="BG53" i="158"/>
  <c r="BC53" i="158"/>
  <c r="AY53" i="158"/>
  <c r="AU53" i="158"/>
  <c r="AQ53" i="158"/>
  <c r="AM53" i="158"/>
  <c r="AI53" i="158"/>
  <c r="AE53" i="158"/>
  <c r="AA53" i="158"/>
  <c r="W53" i="158"/>
  <c r="S53" i="158"/>
  <c r="O53" i="158"/>
  <c r="J53" i="158"/>
  <c r="BW52" i="158"/>
  <c r="BS52" i="158"/>
  <c r="BO52" i="158"/>
  <c r="BK52" i="158"/>
  <c r="BG52" i="158"/>
  <c r="BC52" i="158"/>
  <c r="AY52" i="158"/>
  <c r="AU52" i="158"/>
  <c r="AQ52" i="158"/>
  <c r="AM52" i="158"/>
  <c r="AI52" i="158"/>
  <c r="AE52" i="158"/>
  <c r="AA52" i="158"/>
  <c r="W52" i="158"/>
  <c r="S52" i="158"/>
  <c r="O52" i="158"/>
  <c r="J52" i="158"/>
  <c r="BW51" i="158"/>
  <c r="BS51" i="158"/>
  <c r="BO51" i="158"/>
  <c r="BK51" i="158"/>
  <c r="BG51" i="158"/>
  <c r="BC51" i="158"/>
  <c r="AY51" i="158"/>
  <c r="AU51" i="158"/>
  <c r="AQ51" i="158"/>
  <c r="AM51" i="158"/>
  <c r="AI51" i="158"/>
  <c r="AE51" i="158"/>
  <c r="AA51" i="158"/>
  <c r="W51" i="158"/>
  <c r="S51" i="158"/>
  <c r="O51" i="158"/>
  <c r="J51" i="158"/>
  <c r="BW50" i="158"/>
  <c r="BS50" i="158"/>
  <c r="BO50" i="158"/>
  <c r="BK50" i="158"/>
  <c r="BG50" i="158"/>
  <c r="BC50" i="158"/>
  <c r="AY50" i="158"/>
  <c r="AU50" i="158"/>
  <c r="AQ50" i="158"/>
  <c r="AM50" i="158"/>
  <c r="AI50" i="158"/>
  <c r="AE50" i="158"/>
  <c r="AA50" i="158"/>
  <c r="W50" i="158"/>
  <c r="S50" i="158"/>
  <c r="O50" i="158"/>
  <c r="J50" i="158"/>
  <c r="BW49" i="158"/>
  <c r="BS49" i="158"/>
  <c r="BO49" i="158"/>
  <c r="BK49" i="158"/>
  <c r="BG49" i="158"/>
  <c r="BC49" i="158"/>
  <c r="AY49" i="158"/>
  <c r="AU49" i="158"/>
  <c r="AQ49" i="158"/>
  <c r="AM49" i="158"/>
  <c r="AI49" i="158"/>
  <c r="AE49" i="158"/>
  <c r="AA49" i="158"/>
  <c r="W49" i="158"/>
  <c r="S49" i="158"/>
  <c r="O49" i="158"/>
  <c r="J49" i="158"/>
  <c r="BW48" i="158"/>
  <c r="BS48" i="158"/>
  <c r="BO48" i="158"/>
  <c r="BK48" i="158"/>
  <c r="BG48" i="158"/>
  <c r="BC48" i="158"/>
  <c r="AY48" i="158"/>
  <c r="AU48" i="158"/>
  <c r="AQ48" i="158"/>
  <c r="AM48" i="158"/>
  <c r="AI48" i="158"/>
  <c r="AE48" i="158"/>
  <c r="AA48" i="158"/>
  <c r="W48" i="158"/>
  <c r="S48" i="158"/>
  <c r="O48" i="158"/>
  <c r="J48" i="158"/>
  <c r="BW47" i="158"/>
  <c r="BS47" i="158"/>
  <c r="BO47" i="158"/>
  <c r="BK47" i="158"/>
  <c r="BG47" i="158"/>
  <c r="BC47" i="158"/>
  <c r="AY47" i="158"/>
  <c r="AU47" i="158"/>
  <c r="AQ47" i="158"/>
  <c r="AM47" i="158"/>
  <c r="AI47" i="158"/>
  <c r="AE47" i="158"/>
  <c r="AA47" i="158"/>
  <c r="W47" i="158"/>
  <c r="S47" i="158"/>
  <c r="O47" i="158"/>
  <c r="J47" i="158"/>
  <c r="BW46" i="158"/>
  <c r="BS46" i="158"/>
  <c r="BO46" i="158"/>
  <c r="BK46" i="158"/>
  <c r="BG46" i="158"/>
  <c r="BC46" i="158"/>
  <c r="AY46" i="158"/>
  <c r="AU46" i="158"/>
  <c r="AQ46" i="158"/>
  <c r="AM46" i="158"/>
  <c r="AI46" i="158"/>
  <c r="AE46" i="158"/>
  <c r="AA46" i="158"/>
  <c r="W46" i="158"/>
  <c r="S46" i="158"/>
  <c r="O46" i="158"/>
  <c r="J46" i="158"/>
  <c r="BW45" i="158"/>
  <c r="BS45" i="158"/>
  <c r="BO45" i="158"/>
  <c r="BK45" i="158"/>
  <c r="BG45" i="158"/>
  <c r="BC45" i="158"/>
  <c r="AY45" i="158"/>
  <c r="AU45" i="158"/>
  <c r="AQ45" i="158"/>
  <c r="AM45" i="158"/>
  <c r="AI45" i="158"/>
  <c r="AE45" i="158"/>
  <c r="AA45" i="158"/>
  <c r="W45" i="158"/>
  <c r="S45" i="158"/>
  <c r="O45" i="158"/>
  <c r="J45" i="158"/>
  <c r="BW44" i="158"/>
  <c r="BS44" i="158"/>
  <c r="BO44" i="158"/>
  <c r="BK44" i="158"/>
  <c r="BG44" i="158"/>
  <c r="BC44" i="158"/>
  <c r="AY44" i="158"/>
  <c r="AU44" i="158"/>
  <c r="AQ44" i="158"/>
  <c r="AM44" i="158"/>
  <c r="AI44" i="158"/>
  <c r="AE44" i="158"/>
  <c r="AA44" i="158"/>
  <c r="W44" i="158"/>
  <c r="S44" i="158"/>
  <c r="O44" i="158"/>
  <c r="J44" i="158"/>
  <c r="BW43" i="158"/>
  <c r="BS43" i="158"/>
  <c r="BO43" i="158"/>
  <c r="BK43" i="158"/>
  <c r="BG43" i="158"/>
  <c r="BC43" i="158"/>
  <c r="AY43" i="158"/>
  <c r="AU43" i="158"/>
  <c r="AQ43" i="158"/>
  <c r="AM43" i="158"/>
  <c r="AI43" i="158"/>
  <c r="AE43" i="158"/>
  <c r="AA43" i="158"/>
  <c r="W43" i="158"/>
  <c r="S43" i="158"/>
  <c r="O43" i="158"/>
  <c r="J43" i="158"/>
  <c r="BW42" i="158"/>
  <c r="BS42" i="158"/>
  <c r="BO42" i="158"/>
  <c r="BK42" i="158"/>
  <c r="BG42" i="158"/>
  <c r="BC42" i="158"/>
  <c r="AY42" i="158"/>
  <c r="AU42" i="158"/>
  <c r="AQ42" i="158"/>
  <c r="AM42" i="158"/>
  <c r="AI42" i="158"/>
  <c r="AE42" i="158"/>
  <c r="AA42" i="158"/>
  <c r="W42" i="158"/>
  <c r="S42" i="158"/>
  <c r="O42" i="158"/>
  <c r="J42" i="158"/>
  <c r="BW41" i="158"/>
  <c r="BS41" i="158"/>
  <c r="BO41" i="158"/>
  <c r="BK41" i="158"/>
  <c r="BG41" i="158"/>
  <c r="BC41" i="158"/>
  <c r="AY41" i="158"/>
  <c r="AU41" i="158"/>
  <c r="AQ41" i="158"/>
  <c r="AM41" i="158"/>
  <c r="AI41" i="158"/>
  <c r="AE41" i="158"/>
  <c r="AA41" i="158"/>
  <c r="W41" i="158"/>
  <c r="S41" i="158"/>
  <c r="O41" i="158"/>
  <c r="J41" i="158"/>
  <c r="BW40" i="158"/>
  <c r="BS40" i="158"/>
  <c r="BO40" i="158"/>
  <c r="BK40" i="158"/>
  <c r="BG40" i="158"/>
  <c r="BC40" i="158"/>
  <c r="AY40" i="158"/>
  <c r="AU40" i="158"/>
  <c r="AQ40" i="158"/>
  <c r="AM40" i="158"/>
  <c r="AI40" i="158"/>
  <c r="AE40" i="158"/>
  <c r="AA40" i="158"/>
  <c r="W40" i="158"/>
  <c r="S40" i="158"/>
  <c r="O40" i="158"/>
  <c r="J40" i="158"/>
  <c r="BW39" i="158"/>
  <c r="BS39" i="158"/>
  <c r="BO39" i="158"/>
  <c r="BK39" i="158"/>
  <c r="BG39" i="158"/>
  <c r="BC39" i="158"/>
  <c r="AY39" i="158"/>
  <c r="AU39" i="158"/>
  <c r="AQ39" i="158"/>
  <c r="AM39" i="158"/>
  <c r="AI39" i="158"/>
  <c r="AE39" i="158"/>
  <c r="AA39" i="158"/>
  <c r="W39" i="158"/>
  <c r="S39" i="158"/>
  <c r="O39" i="158"/>
  <c r="J39" i="158"/>
  <c r="BW38" i="158"/>
  <c r="BS38" i="158"/>
  <c r="BO38" i="158"/>
  <c r="BK38" i="158"/>
  <c r="BG38" i="158"/>
  <c r="BC38" i="158"/>
  <c r="AY38" i="158"/>
  <c r="AU38" i="158"/>
  <c r="AQ38" i="158"/>
  <c r="AM38" i="158"/>
  <c r="AI38" i="158"/>
  <c r="AE38" i="158"/>
  <c r="AA38" i="158"/>
  <c r="W38" i="158"/>
  <c r="S38" i="158"/>
  <c r="O38" i="158"/>
  <c r="J38" i="158"/>
  <c r="BW37" i="158"/>
  <c r="BS37" i="158"/>
  <c r="BO37" i="158"/>
  <c r="BK37" i="158"/>
  <c r="BG37" i="158"/>
  <c r="BC37" i="158"/>
  <c r="AY37" i="158"/>
  <c r="AU37" i="158"/>
  <c r="AQ37" i="158"/>
  <c r="AM37" i="158"/>
  <c r="AI37" i="158"/>
  <c r="AE37" i="158"/>
  <c r="AA37" i="158"/>
  <c r="W37" i="158"/>
  <c r="S37" i="158"/>
  <c r="O37" i="158"/>
  <c r="J37" i="158"/>
  <c r="BW36" i="158"/>
  <c r="BS36" i="158"/>
  <c r="BO36" i="158"/>
  <c r="BK36" i="158"/>
  <c r="BG36" i="158"/>
  <c r="BC36" i="158"/>
  <c r="AY36" i="158"/>
  <c r="AU36" i="158"/>
  <c r="AQ36" i="158"/>
  <c r="AM36" i="158"/>
  <c r="AI36" i="158"/>
  <c r="AE36" i="158"/>
  <c r="AA36" i="158"/>
  <c r="W36" i="158"/>
  <c r="S36" i="158"/>
  <c r="O36" i="158"/>
  <c r="J36" i="158"/>
  <c r="BW35" i="158"/>
  <c r="BS35" i="158"/>
  <c r="BO35" i="158"/>
  <c r="BK35" i="158"/>
  <c r="BG35" i="158"/>
  <c r="BC35" i="158"/>
  <c r="AY35" i="158"/>
  <c r="AU35" i="158"/>
  <c r="AQ35" i="158"/>
  <c r="AM35" i="158"/>
  <c r="AI35" i="158"/>
  <c r="AE35" i="158"/>
  <c r="AA35" i="158"/>
  <c r="W35" i="158"/>
  <c r="S35" i="158"/>
  <c r="O35" i="158"/>
  <c r="J35" i="158"/>
  <c r="BW34" i="158"/>
  <c r="BS34" i="158"/>
  <c r="BO34" i="158"/>
  <c r="BK34" i="158"/>
  <c r="BG34" i="158"/>
  <c r="BC34" i="158"/>
  <c r="AY34" i="158"/>
  <c r="AU34" i="158"/>
  <c r="AQ34" i="158"/>
  <c r="AM34" i="158"/>
  <c r="AI34" i="158"/>
  <c r="AE34" i="158"/>
  <c r="AA34" i="158"/>
  <c r="W34" i="158"/>
  <c r="S34" i="158"/>
  <c r="O34" i="158"/>
  <c r="J34" i="158"/>
  <c r="BW33" i="158"/>
  <c r="BS33" i="158"/>
  <c r="BO33" i="158"/>
  <c r="BK33" i="158"/>
  <c r="BG33" i="158"/>
  <c r="BC33" i="158"/>
  <c r="AY33" i="158"/>
  <c r="AU33" i="158"/>
  <c r="AQ33" i="158"/>
  <c r="AM33" i="158"/>
  <c r="AI33" i="158"/>
  <c r="AE33" i="158"/>
  <c r="AA33" i="158"/>
  <c r="W33" i="158"/>
  <c r="S33" i="158"/>
  <c r="O33" i="158"/>
  <c r="J33" i="158"/>
  <c r="BW32" i="158"/>
  <c r="BS32" i="158"/>
  <c r="BO32" i="158"/>
  <c r="BK32" i="158"/>
  <c r="BG32" i="158"/>
  <c r="BC32" i="158"/>
  <c r="AY32" i="158"/>
  <c r="AU32" i="158"/>
  <c r="AQ32" i="158"/>
  <c r="AM32" i="158"/>
  <c r="AI32" i="158"/>
  <c r="AE32" i="158"/>
  <c r="AA32" i="158"/>
  <c r="W32" i="158"/>
  <c r="S32" i="158"/>
  <c r="O32" i="158"/>
  <c r="J32" i="158"/>
  <c r="BW31" i="158"/>
  <c r="BS31" i="158"/>
  <c r="BO31" i="158"/>
  <c r="BK31" i="158"/>
  <c r="BG31" i="158"/>
  <c r="BC31" i="158"/>
  <c r="AY31" i="158"/>
  <c r="AU31" i="158"/>
  <c r="AQ31" i="158"/>
  <c r="AM31" i="158"/>
  <c r="AI31" i="158"/>
  <c r="AE31" i="158"/>
  <c r="AA31" i="158"/>
  <c r="W31" i="158"/>
  <c r="S31" i="158"/>
  <c r="O31" i="158"/>
  <c r="J31" i="158"/>
  <c r="BW30" i="158"/>
  <c r="BS30" i="158"/>
  <c r="BO30" i="158"/>
  <c r="BK30" i="158"/>
  <c r="BG30" i="158"/>
  <c r="BC30" i="158"/>
  <c r="AY30" i="158"/>
  <c r="AU30" i="158"/>
  <c r="AQ30" i="158"/>
  <c r="AM30" i="158"/>
  <c r="AI30" i="158"/>
  <c r="AE30" i="158"/>
  <c r="AA30" i="158"/>
  <c r="W30" i="158"/>
  <c r="S30" i="158"/>
  <c r="O30" i="158"/>
  <c r="J30" i="158"/>
  <c r="BW29" i="158"/>
  <c r="BS29" i="158"/>
  <c r="BO29" i="158"/>
  <c r="BK29" i="158"/>
  <c r="BG29" i="158"/>
  <c r="BC29" i="158"/>
  <c r="AY29" i="158"/>
  <c r="AU29" i="158"/>
  <c r="AQ29" i="158"/>
  <c r="AM29" i="158"/>
  <c r="AI29" i="158"/>
  <c r="AE29" i="158"/>
  <c r="AA29" i="158"/>
  <c r="W29" i="158"/>
  <c r="S29" i="158"/>
  <c r="O29" i="158"/>
  <c r="J29" i="158"/>
  <c r="BW28" i="158"/>
  <c r="BS28" i="158"/>
  <c r="BO28" i="158"/>
  <c r="BK28" i="158"/>
  <c r="BG28" i="158"/>
  <c r="BC28" i="158"/>
  <c r="AY28" i="158"/>
  <c r="AU28" i="158"/>
  <c r="AQ28" i="158"/>
  <c r="AM28" i="158"/>
  <c r="AI28" i="158"/>
  <c r="AE28" i="158"/>
  <c r="AA28" i="158"/>
  <c r="W28" i="158"/>
  <c r="S28" i="158"/>
  <c r="O28" i="158"/>
  <c r="J28" i="158"/>
  <c r="BW27" i="158"/>
  <c r="BS27" i="158"/>
  <c r="BO27" i="158"/>
  <c r="BK27" i="158"/>
  <c r="BG27" i="158"/>
  <c r="BC27" i="158"/>
  <c r="AY27" i="158"/>
  <c r="AU27" i="158"/>
  <c r="AQ27" i="158"/>
  <c r="AM27" i="158"/>
  <c r="AI27" i="158"/>
  <c r="AE27" i="158"/>
  <c r="AA27" i="158"/>
  <c r="W27" i="158"/>
  <c r="S27" i="158"/>
  <c r="O27" i="158"/>
  <c r="J27" i="158"/>
  <c r="BW26" i="158"/>
  <c r="BS26" i="158"/>
  <c r="BO26" i="158"/>
  <c r="BK26" i="158"/>
  <c r="BG26" i="158"/>
  <c r="BC26" i="158"/>
  <c r="AY26" i="158"/>
  <c r="AU26" i="158"/>
  <c r="AQ26" i="158"/>
  <c r="AM26" i="158"/>
  <c r="AI26" i="158"/>
  <c r="AE26" i="158"/>
  <c r="AA26" i="158"/>
  <c r="W26" i="158"/>
  <c r="S26" i="158"/>
  <c r="O26" i="158"/>
  <c r="J26" i="158"/>
  <c r="BW25" i="158"/>
  <c r="BS25" i="158"/>
  <c r="BO25" i="158"/>
  <c r="BK25" i="158"/>
  <c r="BG25" i="158"/>
  <c r="BC25" i="158"/>
  <c r="AY25" i="158"/>
  <c r="AU25" i="158"/>
  <c r="AQ25" i="158"/>
  <c r="AM25" i="158"/>
  <c r="AI25" i="158"/>
  <c r="AE25" i="158"/>
  <c r="AA25" i="158"/>
  <c r="W25" i="158"/>
  <c r="S25" i="158"/>
  <c r="O25" i="158"/>
  <c r="J25" i="158"/>
  <c r="BW24" i="158"/>
  <c r="BS24" i="158"/>
  <c r="BO24" i="158"/>
  <c r="BK24" i="158"/>
  <c r="BG24" i="158"/>
  <c r="BC24" i="158"/>
  <c r="AY24" i="158"/>
  <c r="AU24" i="158"/>
  <c r="AQ24" i="158"/>
  <c r="AM24" i="158"/>
  <c r="AI24" i="158"/>
  <c r="AE24" i="158"/>
  <c r="AA24" i="158"/>
  <c r="W24" i="158"/>
  <c r="S24" i="158"/>
  <c r="O24" i="158"/>
  <c r="J24" i="158"/>
  <c r="BW23" i="158"/>
  <c r="BS23" i="158"/>
  <c r="BO23" i="158"/>
  <c r="BK23" i="158"/>
  <c r="BG23" i="158"/>
  <c r="BC23" i="158"/>
  <c r="AY23" i="158"/>
  <c r="AU23" i="158"/>
  <c r="AQ23" i="158"/>
  <c r="AM23" i="158"/>
  <c r="AI23" i="158"/>
  <c r="AE23" i="158"/>
  <c r="AA23" i="158"/>
  <c r="W23" i="158"/>
  <c r="S23" i="158"/>
  <c r="O23" i="158"/>
  <c r="J23" i="158"/>
  <c r="BW22" i="158"/>
  <c r="BS22" i="158"/>
  <c r="BO22" i="158"/>
  <c r="BK22" i="158"/>
  <c r="BG22" i="158"/>
  <c r="BC22" i="158"/>
  <c r="AY22" i="158"/>
  <c r="AU22" i="158"/>
  <c r="AQ22" i="158"/>
  <c r="AM22" i="158"/>
  <c r="AI22" i="158"/>
  <c r="AE22" i="158"/>
  <c r="AA22" i="158"/>
  <c r="W22" i="158"/>
  <c r="S22" i="158"/>
  <c r="O22" i="158"/>
  <c r="J22" i="158"/>
  <c r="BW21" i="158"/>
  <c r="BS21" i="158"/>
  <c r="BO21" i="158"/>
  <c r="BK21" i="158"/>
  <c r="BG21" i="158"/>
  <c r="BC21" i="158"/>
  <c r="AY21" i="158"/>
  <c r="AU21" i="158"/>
  <c r="AQ21" i="158"/>
  <c r="AM21" i="158"/>
  <c r="AI21" i="158"/>
  <c r="AE21" i="158"/>
  <c r="AA21" i="158"/>
  <c r="W21" i="158"/>
  <c r="S21" i="158"/>
  <c r="O21" i="158"/>
  <c r="J21" i="158"/>
  <c r="BW20" i="158"/>
  <c r="BS20" i="158"/>
  <c r="BO20" i="158"/>
  <c r="BK20" i="158"/>
  <c r="BG20" i="158"/>
  <c r="BC20" i="158"/>
  <c r="AY20" i="158"/>
  <c r="AU20" i="158"/>
  <c r="AQ20" i="158"/>
  <c r="AM20" i="158"/>
  <c r="AI20" i="158"/>
  <c r="AE20" i="158"/>
  <c r="AA20" i="158"/>
  <c r="W20" i="158"/>
  <c r="S20" i="158"/>
  <c r="O20" i="158"/>
  <c r="J20" i="158"/>
  <c r="BW19" i="158"/>
  <c r="BS19" i="158"/>
  <c r="BO19" i="158"/>
  <c r="BK19" i="158"/>
  <c r="BG19" i="158"/>
  <c r="BC19" i="158"/>
  <c r="AY19" i="158"/>
  <c r="AU19" i="158"/>
  <c r="AQ19" i="158"/>
  <c r="AM19" i="158"/>
  <c r="AI19" i="158"/>
  <c r="AE19" i="158"/>
  <c r="AA19" i="158"/>
  <c r="W19" i="158"/>
  <c r="S19" i="158"/>
  <c r="O19" i="158"/>
  <c r="J19" i="158"/>
  <c r="BW18" i="158"/>
  <c r="BS18" i="158"/>
  <c r="BO18" i="158"/>
  <c r="BK18" i="158"/>
  <c r="BG18" i="158"/>
  <c r="BC18" i="158"/>
  <c r="AY18" i="158"/>
  <c r="AU18" i="158"/>
  <c r="AQ18" i="158"/>
  <c r="AM18" i="158"/>
  <c r="AI18" i="158"/>
  <c r="AE18" i="158"/>
  <c r="AA18" i="158"/>
  <c r="W18" i="158"/>
  <c r="S18" i="158"/>
  <c r="O18" i="158"/>
  <c r="J18" i="158"/>
  <c r="BW17" i="158"/>
  <c r="BS17" i="158"/>
  <c r="BO17" i="158"/>
  <c r="BK17" i="158"/>
  <c r="BG17" i="158"/>
  <c r="BC17" i="158"/>
  <c r="AY17" i="158"/>
  <c r="AU17" i="158"/>
  <c r="AQ17" i="158"/>
  <c r="AM17" i="158"/>
  <c r="AI17" i="158"/>
  <c r="AE17" i="158"/>
  <c r="AA17" i="158"/>
  <c r="W17" i="158"/>
  <c r="S17" i="158"/>
  <c r="O17" i="158"/>
  <c r="J17" i="158"/>
  <c r="BW16" i="158"/>
  <c r="BS16" i="158"/>
  <c r="BO16" i="158"/>
  <c r="BK16" i="158"/>
  <c r="BG16" i="158"/>
  <c r="BC16" i="158"/>
  <c r="AY16" i="158"/>
  <c r="AU16" i="158"/>
  <c r="AQ16" i="158"/>
  <c r="AM16" i="158"/>
  <c r="AI16" i="158"/>
  <c r="AE16" i="158"/>
  <c r="AA16" i="158"/>
  <c r="W16" i="158"/>
  <c r="S16" i="158"/>
  <c r="O16" i="158"/>
  <c r="J16" i="158"/>
  <c r="BW15" i="158"/>
  <c r="BS15" i="158"/>
  <c r="BO15" i="158"/>
  <c r="BK15" i="158"/>
  <c r="BG15" i="158"/>
  <c r="BC15" i="158"/>
  <c r="AY15" i="158"/>
  <c r="AU15" i="158"/>
  <c r="AQ15" i="158"/>
  <c r="AM15" i="158"/>
  <c r="AI15" i="158"/>
  <c r="AE15" i="158"/>
  <c r="AA15" i="158"/>
  <c r="W15" i="158"/>
  <c r="S15" i="158"/>
  <c r="O15" i="158"/>
  <c r="J15" i="158"/>
  <c r="BW14" i="158"/>
  <c r="BS14" i="158"/>
  <c r="BO14" i="158"/>
  <c r="BK14" i="158"/>
  <c r="BG14" i="158"/>
  <c r="BC14" i="158"/>
  <c r="AY14" i="158"/>
  <c r="AU14" i="158"/>
  <c r="AQ14" i="158"/>
  <c r="AM14" i="158"/>
  <c r="AI14" i="158"/>
  <c r="AE14" i="158"/>
  <c r="AA14" i="158"/>
  <c r="W14" i="158"/>
  <c r="S14" i="158"/>
  <c r="O14" i="158"/>
  <c r="J14" i="158"/>
  <c r="BW13" i="158"/>
  <c r="BS13" i="158"/>
  <c r="BO13" i="158"/>
  <c r="BK13" i="158"/>
  <c r="BG13" i="158"/>
  <c r="BC13" i="158"/>
  <c r="AY13" i="158"/>
  <c r="AU13" i="158"/>
  <c r="AQ13" i="158"/>
  <c r="AM13" i="158"/>
  <c r="AI13" i="158"/>
  <c r="AE13" i="158"/>
  <c r="AA13" i="158"/>
  <c r="W13" i="158"/>
  <c r="S13" i="158"/>
  <c r="O13" i="158"/>
  <c r="J13" i="158"/>
  <c r="BW12" i="158"/>
  <c r="BS12" i="158"/>
  <c r="BO12" i="158"/>
  <c r="BK12" i="158"/>
  <c r="BG12" i="158"/>
  <c r="BC12" i="158"/>
  <c r="AY12" i="158"/>
  <c r="AU12" i="158"/>
  <c r="AQ12" i="158"/>
  <c r="AM12" i="158"/>
  <c r="AI12" i="158"/>
  <c r="AE12" i="158"/>
  <c r="AA12" i="158"/>
  <c r="W12" i="158"/>
  <c r="S12" i="158"/>
  <c r="O12" i="158"/>
  <c r="J12" i="158"/>
  <c r="BW11" i="158"/>
  <c r="BS11" i="158"/>
  <c r="BO11" i="158"/>
  <c r="BK11" i="158"/>
  <c r="BG11" i="158"/>
  <c r="BC11" i="158"/>
  <c r="AY11" i="158"/>
  <c r="AU11" i="158"/>
  <c r="AQ11" i="158"/>
  <c r="AM11" i="158"/>
  <c r="AI11" i="158"/>
  <c r="AE11" i="158"/>
  <c r="AA11" i="158"/>
  <c r="W11" i="158"/>
  <c r="S11" i="158"/>
  <c r="O11" i="158"/>
  <c r="J11" i="158"/>
  <c r="BW10" i="158"/>
  <c r="BS10" i="158"/>
  <c r="BO10" i="158"/>
  <c r="BK10" i="158"/>
  <c r="BG10" i="158"/>
  <c r="BC10" i="158"/>
  <c r="AY10" i="158"/>
  <c r="AU10" i="158"/>
  <c r="AQ10" i="158"/>
  <c r="AM10" i="158"/>
  <c r="AI10" i="158"/>
  <c r="AE10" i="158"/>
  <c r="AA10" i="158"/>
  <c r="W10" i="158"/>
  <c r="S10" i="158"/>
  <c r="O10" i="158"/>
  <c r="J10" i="158"/>
  <c r="BW9" i="158"/>
  <c r="BS9" i="158"/>
  <c r="BO9" i="158"/>
  <c r="BK9" i="158"/>
  <c r="BG9" i="158"/>
  <c r="BC9" i="158"/>
  <c r="AY9" i="158"/>
  <c r="AU9" i="158"/>
  <c r="AQ9" i="158"/>
  <c r="AM9" i="158"/>
  <c r="AI9" i="158"/>
  <c r="AE9" i="158"/>
  <c r="AA9" i="158"/>
  <c r="W9" i="158"/>
  <c r="S9" i="158"/>
  <c r="O9" i="158"/>
  <c r="J9" i="158"/>
  <c r="BW8" i="158"/>
  <c r="BS8" i="158"/>
  <c r="BO8" i="158"/>
  <c r="BK8" i="158"/>
  <c r="BG8" i="158"/>
  <c r="BC8" i="158"/>
  <c r="AY8" i="158"/>
  <c r="AU8" i="158"/>
  <c r="AQ8" i="158"/>
  <c r="AM8" i="158"/>
  <c r="AI8" i="158"/>
  <c r="AE8" i="158"/>
  <c r="AA8" i="158"/>
  <c r="W8" i="158"/>
  <c r="S8" i="158"/>
  <c r="O8" i="158"/>
  <c r="J8" i="158"/>
  <c r="BW7" i="158"/>
  <c r="BS7" i="158"/>
  <c r="BO7" i="158"/>
  <c r="BK7" i="158"/>
  <c r="BG7" i="158"/>
  <c r="BC7" i="158"/>
  <c r="AY7" i="158"/>
  <c r="AU7" i="158"/>
  <c r="AQ7" i="158"/>
  <c r="AM7" i="158"/>
  <c r="AI7" i="158"/>
  <c r="AE7" i="158"/>
  <c r="AA7" i="158"/>
  <c r="W7" i="158"/>
  <c r="S7" i="158"/>
  <c r="O7" i="158"/>
  <c r="J7" i="158"/>
  <c r="BV6" i="158"/>
  <c r="BW6" i="158" s="1"/>
  <c r="BU6" i="158"/>
  <c r="BT6" i="158"/>
  <c r="BI6" i="158"/>
  <c r="BH6" i="158"/>
  <c r="BB6" i="158"/>
  <c r="BC6" i="158" s="1"/>
  <c r="AW6" i="158"/>
  <c r="AV6" i="158"/>
  <c r="AK6" i="158"/>
  <c r="AJ6" i="158"/>
  <c r="AD6" i="158"/>
  <c r="AE6" i="158" s="1"/>
  <c r="Y6" i="158"/>
  <c r="X6" i="158"/>
  <c r="M6" i="158"/>
  <c r="L6" i="158"/>
  <c r="BT5" i="158"/>
  <c r="BW5" i="158" s="1"/>
  <c r="AZ5" i="158"/>
  <c r="BC5" i="158" s="1"/>
  <c r="AV5" i="158"/>
  <c r="AY5" i="158" s="1"/>
  <c r="AB5" i="158"/>
  <c r="AE5" i="158" s="1"/>
  <c r="X5" i="158"/>
  <c r="AA5" i="158" s="1"/>
  <c r="BS4" i="158"/>
  <c r="BT4" i="158" s="1"/>
  <c r="BO4" i="158"/>
  <c r="BR6" i="158" s="1"/>
  <c r="BS6" i="158" s="1"/>
  <c r="BK4" i="158"/>
  <c r="BL4" i="158" s="1"/>
  <c r="BG4" i="158"/>
  <c r="BH4" i="158" s="1"/>
  <c r="BC4" i="158"/>
  <c r="BF6" i="158" s="1"/>
  <c r="BG6" i="158" s="1"/>
  <c r="AY4" i="158"/>
  <c r="BA6" i="158" s="1"/>
  <c r="AU4" i="158"/>
  <c r="AV4" i="158" s="1"/>
  <c r="AQ4" i="158"/>
  <c r="AT6" i="158" s="1"/>
  <c r="AU6" i="158" s="1"/>
  <c r="AM4" i="158"/>
  <c r="AN4" i="158" s="1"/>
  <c r="AI4" i="158"/>
  <c r="AJ4" i="158" s="1"/>
  <c r="AE4" i="158"/>
  <c r="AH6" i="158" s="1"/>
  <c r="AI6" i="158" s="1"/>
  <c r="AA4" i="158"/>
  <c r="AC6" i="158" s="1"/>
  <c r="W4" i="158"/>
  <c r="X4" i="158" s="1"/>
  <c r="S4" i="158"/>
  <c r="V6" i="158" s="1"/>
  <c r="W6" i="158" s="1"/>
  <c r="O4" i="158"/>
  <c r="P4" i="158" s="1"/>
  <c r="K4" i="158"/>
  <c r="L4" i="158" s="1"/>
  <c r="J4" i="158"/>
  <c r="BT3" i="158"/>
  <c r="BP3" i="158"/>
  <c r="BL3" i="158"/>
  <c r="BH3" i="158"/>
  <c r="BD3" i="158"/>
  <c r="AZ3" i="158"/>
  <c r="AV3" i="158"/>
  <c r="AR3" i="158"/>
  <c r="AN3" i="158"/>
  <c r="AJ3" i="158"/>
  <c r="AF3" i="158"/>
  <c r="AB3" i="158"/>
  <c r="X3" i="158"/>
  <c r="T3" i="158"/>
  <c r="P3" i="158"/>
  <c r="L3" i="158"/>
  <c r="J3" i="158"/>
  <c r="J2" i="158"/>
  <c r="F1" i="158"/>
  <c r="BW82" i="157"/>
  <c r="BS82" i="157"/>
  <c r="BO82" i="157"/>
  <c r="BK82" i="157"/>
  <c r="BG82" i="157"/>
  <c r="BC82" i="157"/>
  <c r="AY82" i="157"/>
  <c r="AU82" i="157"/>
  <c r="AQ82" i="157"/>
  <c r="AM82" i="157"/>
  <c r="AI82" i="157"/>
  <c r="AE82" i="157"/>
  <c r="AA82" i="157"/>
  <c r="W82" i="157"/>
  <c r="S82" i="157"/>
  <c r="O82" i="157"/>
  <c r="J82" i="157"/>
  <c r="BW81" i="157"/>
  <c r="BS81" i="157"/>
  <c r="BO81" i="157"/>
  <c r="BK81" i="157"/>
  <c r="BG81" i="157"/>
  <c r="BC81" i="157"/>
  <c r="AY81" i="157"/>
  <c r="AU81" i="157"/>
  <c r="AQ81" i="157"/>
  <c r="AM81" i="157"/>
  <c r="AI81" i="157"/>
  <c r="AE81" i="157"/>
  <c r="AA81" i="157"/>
  <c r="W81" i="157"/>
  <c r="S81" i="157"/>
  <c r="O81" i="157"/>
  <c r="J81" i="157"/>
  <c r="BW80" i="157"/>
  <c r="BS80" i="157"/>
  <c r="BO80" i="157"/>
  <c r="BK80" i="157"/>
  <c r="BG80" i="157"/>
  <c r="BC80" i="157"/>
  <c r="AY80" i="157"/>
  <c r="AU80" i="157"/>
  <c r="AQ80" i="157"/>
  <c r="AM80" i="157"/>
  <c r="AI80" i="157"/>
  <c r="AE80" i="157"/>
  <c r="AA80" i="157"/>
  <c r="W80" i="157"/>
  <c r="S80" i="157"/>
  <c r="O80" i="157"/>
  <c r="J80" i="157"/>
  <c r="BW79" i="157"/>
  <c r="BS79" i="157"/>
  <c r="BO79" i="157"/>
  <c r="BK79" i="157"/>
  <c r="BG79" i="157"/>
  <c r="BC79" i="157"/>
  <c r="AY79" i="157"/>
  <c r="AU79" i="157"/>
  <c r="AQ79" i="157"/>
  <c r="AM79" i="157"/>
  <c r="AI79" i="157"/>
  <c r="AE79" i="157"/>
  <c r="AA79" i="157"/>
  <c r="W79" i="157"/>
  <c r="S79" i="157"/>
  <c r="O79" i="157"/>
  <c r="J79" i="157"/>
  <c r="BW78" i="157"/>
  <c r="BS78" i="157"/>
  <c r="BO78" i="157"/>
  <c r="BK78" i="157"/>
  <c r="BG78" i="157"/>
  <c r="BC78" i="157"/>
  <c r="AY78" i="157"/>
  <c r="AU78" i="157"/>
  <c r="AQ78" i="157"/>
  <c r="AM78" i="157"/>
  <c r="AI78" i="157"/>
  <c r="AE78" i="157"/>
  <c r="AA78" i="157"/>
  <c r="W78" i="157"/>
  <c r="S78" i="157"/>
  <c r="O78" i="157"/>
  <c r="J78" i="157"/>
  <c r="BW77" i="157"/>
  <c r="BS77" i="157"/>
  <c r="BO77" i="157"/>
  <c r="BK77" i="157"/>
  <c r="BG77" i="157"/>
  <c r="BC77" i="157"/>
  <c r="AY77" i="157"/>
  <c r="AU77" i="157"/>
  <c r="AQ77" i="157"/>
  <c r="AM77" i="157"/>
  <c r="AI77" i="157"/>
  <c r="AE77" i="157"/>
  <c r="AA77" i="157"/>
  <c r="W77" i="157"/>
  <c r="S77" i="157"/>
  <c r="O77" i="157"/>
  <c r="J77" i="157"/>
  <c r="BW76" i="157"/>
  <c r="BS76" i="157"/>
  <c r="BO76" i="157"/>
  <c r="BK76" i="157"/>
  <c r="BG76" i="157"/>
  <c r="BC76" i="157"/>
  <c r="AY76" i="157"/>
  <c r="AU76" i="157"/>
  <c r="AQ76" i="157"/>
  <c r="AM76" i="157"/>
  <c r="AI76" i="157"/>
  <c r="AE76" i="157"/>
  <c r="AA76" i="157"/>
  <c r="W76" i="157"/>
  <c r="S76" i="157"/>
  <c r="O76" i="157"/>
  <c r="J76" i="157"/>
  <c r="BW75" i="157"/>
  <c r="BS75" i="157"/>
  <c r="BO75" i="157"/>
  <c r="BK75" i="157"/>
  <c r="BG75" i="157"/>
  <c r="BC75" i="157"/>
  <c r="AY75" i="157"/>
  <c r="AU75" i="157"/>
  <c r="AQ75" i="157"/>
  <c r="AM75" i="157"/>
  <c r="AI75" i="157"/>
  <c r="AE75" i="157"/>
  <c r="AA75" i="157"/>
  <c r="W75" i="157"/>
  <c r="S75" i="157"/>
  <c r="O75" i="157"/>
  <c r="J75" i="157"/>
  <c r="BW74" i="157"/>
  <c r="BS74" i="157"/>
  <c r="BO74" i="157"/>
  <c r="BK74" i="157"/>
  <c r="BG74" i="157"/>
  <c r="BC74" i="157"/>
  <c r="AY74" i="157"/>
  <c r="AU74" i="157"/>
  <c r="AQ74" i="157"/>
  <c r="AM74" i="157"/>
  <c r="AI74" i="157"/>
  <c r="AE74" i="157"/>
  <c r="AA74" i="157"/>
  <c r="W74" i="157"/>
  <c r="S74" i="157"/>
  <c r="O74" i="157"/>
  <c r="J74" i="157"/>
  <c r="BW73" i="157"/>
  <c r="BS73" i="157"/>
  <c r="BO73" i="157"/>
  <c r="BK73" i="157"/>
  <c r="BG73" i="157"/>
  <c r="BC73" i="157"/>
  <c r="AY73" i="157"/>
  <c r="AU73" i="157"/>
  <c r="AQ73" i="157"/>
  <c r="AM73" i="157"/>
  <c r="AI73" i="157"/>
  <c r="AE73" i="157"/>
  <c r="AA73" i="157"/>
  <c r="W73" i="157"/>
  <c r="S73" i="157"/>
  <c r="O73" i="157"/>
  <c r="J73" i="157"/>
  <c r="BW72" i="157"/>
  <c r="BS72" i="157"/>
  <c r="BO72" i="157"/>
  <c r="BK72" i="157"/>
  <c r="BG72" i="157"/>
  <c r="BC72" i="157"/>
  <c r="AY72" i="157"/>
  <c r="AU72" i="157"/>
  <c r="AQ72" i="157"/>
  <c r="AM72" i="157"/>
  <c r="AI72" i="157"/>
  <c r="AE72" i="157"/>
  <c r="AA72" i="157"/>
  <c r="W72" i="157"/>
  <c r="S72" i="157"/>
  <c r="O72" i="157"/>
  <c r="J72" i="157"/>
  <c r="BW71" i="157"/>
  <c r="BS71" i="157"/>
  <c r="BO71" i="157"/>
  <c r="BK71" i="157"/>
  <c r="BG71" i="157"/>
  <c r="BC71" i="157"/>
  <c r="AY71" i="157"/>
  <c r="AU71" i="157"/>
  <c r="AQ71" i="157"/>
  <c r="AM71" i="157"/>
  <c r="AI71" i="157"/>
  <c r="AE71" i="157"/>
  <c r="AA71" i="157"/>
  <c r="W71" i="157"/>
  <c r="S71" i="157"/>
  <c r="O71" i="157"/>
  <c r="J71" i="157"/>
  <c r="BW70" i="157"/>
  <c r="BS70" i="157"/>
  <c r="BO70" i="157"/>
  <c r="BK70" i="157"/>
  <c r="BG70" i="157"/>
  <c r="BC70" i="157"/>
  <c r="AY70" i="157"/>
  <c r="AU70" i="157"/>
  <c r="AQ70" i="157"/>
  <c r="AM70" i="157"/>
  <c r="AI70" i="157"/>
  <c r="AE70" i="157"/>
  <c r="AA70" i="157"/>
  <c r="W70" i="157"/>
  <c r="S70" i="157"/>
  <c r="O70" i="157"/>
  <c r="J70" i="157"/>
  <c r="BW69" i="157"/>
  <c r="BS69" i="157"/>
  <c r="BO69" i="157"/>
  <c r="BK69" i="157"/>
  <c r="BG69" i="157"/>
  <c r="BC69" i="157"/>
  <c r="AY69" i="157"/>
  <c r="AU69" i="157"/>
  <c r="AQ69" i="157"/>
  <c r="AM69" i="157"/>
  <c r="AI69" i="157"/>
  <c r="AE69" i="157"/>
  <c r="AA69" i="157"/>
  <c r="W69" i="157"/>
  <c r="S69" i="157"/>
  <c r="O69" i="157"/>
  <c r="J69" i="157"/>
  <c r="BW68" i="157"/>
  <c r="BS68" i="157"/>
  <c r="BO68" i="157"/>
  <c r="BK68" i="157"/>
  <c r="BG68" i="157"/>
  <c r="BC68" i="157"/>
  <c r="AY68" i="157"/>
  <c r="AU68" i="157"/>
  <c r="AQ68" i="157"/>
  <c r="AM68" i="157"/>
  <c r="AI68" i="157"/>
  <c r="AE68" i="157"/>
  <c r="AA68" i="157"/>
  <c r="W68" i="157"/>
  <c r="S68" i="157"/>
  <c r="O68" i="157"/>
  <c r="J68" i="157"/>
  <c r="BW67" i="157"/>
  <c r="BS67" i="157"/>
  <c r="BO67" i="157"/>
  <c r="BK67" i="157"/>
  <c r="BG67" i="157"/>
  <c r="BC67" i="157"/>
  <c r="AY67" i="157"/>
  <c r="AU67" i="157"/>
  <c r="AQ67" i="157"/>
  <c r="AM67" i="157"/>
  <c r="AI67" i="157"/>
  <c r="AE67" i="157"/>
  <c r="AA67" i="157"/>
  <c r="W67" i="157"/>
  <c r="S67" i="157"/>
  <c r="O67" i="157"/>
  <c r="J67" i="157"/>
  <c r="BW66" i="157"/>
  <c r="BS66" i="157"/>
  <c r="BO66" i="157"/>
  <c r="BK66" i="157"/>
  <c r="BG66" i="157"/>
  <c r="BC66" i="157"/>
  <c r="AY66" i="157"/>
  <c r="AU66" i="157"/>
  <c r="AQ66" i="157"/>
  <c r="AM66" i="157"/>
  <c r="AI66" i="157"/>
  <c r="AE66" i="157"/>
  <c r="AA66" i="157"/>
  <c r="W66" i="157"/>
  <c r="S66" i="157"/>
  <c r="O66" i="157"/>
  <c r="J66" i="157"/>
  <c r="BW65" i="157"/>
  <c r="BS65" i="157"/>
  <c r="BO65" i="157"/>
  <c r="BK65" i="157"/>
  <c r="BG65" i="157"/>
  <c r="BC65" i="157"/>
  <c r="AY65" i="157"/>
  <c r="AU65" i="157"/>
  <c r="AQ65" i="157"/>
  <c r="AM65" i="157"/>
  <c r="AI65" i="157"/>
  <c r="AE65" i="157"/>
  <c r="AA65" i="157"/>
  <c r="W65" i="157"/>
  <c r="S65" i="157"/>
  <c r="O65" i="157"/>
  <c r="J65" i="157"/>
  <c r="BW64" i="157"/>
  <c r="BS64" i="157"/>
  <c r="BO64" i="157"/>
  <c r="BK64" i="157"/>
  <c r="BG64" i="157"/>
  <c r="BC64" i="157"/>
  <c r="AY64" i="157"/>
  <c r="AU64" i="157"/>
  <c r="AQ64" i="157"/>
  <c r="AM64" i="157"/>
  <c r="AI64" i="157"/>
  <c r="AE64" i="157"/>
  <c r="AA64" i="157"/>
  <c r="W64" i="157"/>
  <c r="S64" i="157"/>
  <c r="O64" i="157"/>
  <c r="J64" i="157"/>
  <c r="BW63" i="157"/>
  <c r="BS63" i="157"/>
  <c r="BO63" i="157"/>
  <c r="BK63" i="157"/>
  <c r="BG63" i="157"/>
  <c r="BC63" i="157"/>
  <c r="AY63" i="157"/>
  <c r="AU63" i="157"/>
  <c r="AQ63" i="157"/>
  <c r="AM63" i="157"/>
  <c r="AI63" i="157"/>
  <c r="AE63" i="157"/>
  <c r="AA63" i="157"/>
  <c r="W63" i="157"/>
  <c r="S63" i="157"/>
  <c r="O63" i="157"/>
  <c r="J63" i="157"/>
  <c r="BW62" i="157"/>
  <c r="BS62" i="157"/>
  <c r="BO62" i="157"/>
  <c r="BK62" i="157"/>
  <c r="BG62" i="157"/>
  <c r="BC62" i="157"/>
  <c r="AY62" i="157"/>
  <c r="AU62" i="157"/>
  <c r="AQ62" i="157"/>
  <c r="AM62" i="157"/>
  <c r="AI62" i="157"/>
  <c r="AE62" i="157"/>
  <c r="AA62" i="157"/>
  <c r="W62" i="157"/>
  <c r="S62" i="157"/>
  <c r="O62" i="157"/>
  <c r="J62" i="157"/>
  <c r="BW61" i="157"/>
  <c r="BS61" i="157"/>
  <c r="BO61" i="157"/>
  <c r="BK61" i="157"/>
  <c r="BG61" i="157"/>
  <c r="BC61" i="157"/>
  <c r="AY61" i="157"/>
  <c r="AU61" i="157"/>
  <c r="AQ61" i="157"/>
  <c r="AM61" i="157"/>
  <c r="AI61" i="157"/>
  <c r="AE61" i="157"/>
  <c r="AA61" i="157"/>
  <c r="W61" i="157"/>
  <c r="S61" i="157"/>
  <c r="O61" i="157"/>
  <c r="J61" i="157"/>
  <c r="BW60" i="157"/>
  <c r="BS60" i="157"/>
  <c r="BO60" i="157"/>
  <c r="BK60" i="157"/>
  <c r="BG60" i="157"/>
  <c r="BC60" i="157"/>
  <c r="AY60" i="157"/>
  <c r="AU60" i="157"/>
  <c r="AQ60" i="157"/>
  <c r="AM60" i="157"/>
  <c r="AI60" i="157"/>
  <c r="AE60" i="157"/>
  <c r="AA60" i="157"/>
  <c r="W60" i="157"/>
  <c r="S60" i="157"/>
  <c r="O60" i="157"/>
  <c r="J60" i="157"/>
  <c r="BW59" i="157"/>
  <c r="BS59" i="157"/>
  <c r="BO59" i="157"/>
  <c r="BK59" i="157"/>
  <c r="BG59" i="157"/>
  <c r="BC59" i="157"/>
  <c r="AY59" i="157"/>
  <c r="AU59" i="157"/>
  <c r="AQ59" i="157"/>
  <c r="AM59" i="157"/>
  <c r="AI59" i="157"/>
  <c r="AE59" i="157"/>
  <c r="AA59" i="157"/>
  <c r="W59" i="157"/>
  <c r="S59" i="157"/>
  <c r="O59" i="157"/>
  <c r="J59" i="157"/>
  <c r="BW58" i="157"/>
  <c r="BS58" i="157"/>
  <c r="BO58" i="157"/>
  <c r="BK58" i="157"/>
  <c r="BG58" i="157"/>
  <c r="BC58" i="157"/>
  <c r="AY58" i="157"/>
  <c r="AU58" i="157"/>
  <c r="AQ58" i="157"/>
  <c r="AM58" i="157"/>
  <c r="AI58" i="157"/>
  <c r="AE58" i="157"/>
  <c r="AA58" i="157"/>
  <c r="W58" i="157"/>
  <c r="S58" i="157"/>
  <c r="O58" i="157"/>
  <c r="J58" i="157"/>
  <c r="BW57" i="157"/>
  <c r="BS57" i="157"/>
  <c r="BO57" i="157"/>
  <c r="BK57" i="157"/>
  <c r="BG57" i="157"/>
  <c r="BC57" i="157"/>
  <c r="AY57" i="157"/>
  <c r="AU57" i="157"/>
  <c r="AQ57" i="157"/>
  <c r="AM57" i="157"/>
  <c r="AI57" i="157"/>
  <c r="AE57" i="157"/>
  <c r="AA57" i="157"/>
  <c r="W57" i="157"/>
  <c r="S57" i="157"/>
  <c r="O57" i="157"/>
  <c r="J57" i="157"/>
  <c r="BW56" i="157"/>
  <c r="BS56" i="157"/>
  <c r="BO56" i="157"/>
  <c r="BK56" i="157"/>
  <c r="BG56" i="157"/>
  <c r="BC56" i="157"/>
  <c r="AY56" i="157"/>
  <c r="AU56" i="157"/>
  <c r="AQ56" i="157"/>
  <c r="AM56" i="157"/>
  <c r="AI56" i="157"/>
  <c r="AE56" i="157"/>
  <c r="AA56" i="157"/>
  <c r="W56" i="157"/>
  <c r="S56" i="157"/>
  <c r="O56" i="157"/>
  <c r="J56" i="157"/>
  <c r="BW55" i="157"/>
  <c r="BS55" i="157"/>
  <c r="BO55" i="157"/>
  <c r="BK55" i="157"/>
  <c r="BG55" i="157"/>
  <c r="BC55" i="157"/>
  <c r="AY55" i="157"/>
  <c r="AU55" i="157"/>
  <c r="AQ55" i="157"/>
  <c r="AM55" i="157"/>
  <c r="AI55" i="157"/>
  <c r="AE55" i="157"/>
  <c r="AA55" i="157"/>
  <c r="W55" i="157"/>
  <c r="S55" i="157"/>
  <c r="O55" i="157"/>
  <c r="J55" i="157"/>
  <c r="BW54" i="157"/>
  <c r="BS54" i="157"/>
  <c r="BO54" i="157"/>
  <c r="BK54" i="157"/>
  <c r="BG54" i="157"/>
  <c r="BC54" i="157"/>
  <c r="AY54" i="157"/>
  <c r="AU54" i="157"/>
  <c r="AQ54" i="157"/>
  <c r="AM54" i="157"/>
  <c r="AI54" i="157"/>
  <c r="AE54" i="157"/>
  <c r="AA54" i="157"/>
  <c r="W54" i="157"/>
  <c r="S54" i="157"/>
  <c r="O54" i="157"/>
  <c r="J54" i="157"/>
  <c r="BW53" i="157"/>
  <c r="BS53" i="157"/>
  <c r="BO53" i="157"/>
  <c r="BK53" i="157"/>
  <c r="BG53" i="157"/>
  <c r="BC53" i="157"/>
  <c r="AY53" i="157"/>
  <c r="AU53" i="157"/>
  <c r="AQ53" i="157"/>
  <c r="AM53" i="157"/>
  <c r="AI53" i="157"/>
  <c r="AE53" i="157"/>
  <c r="AA53" i="157"/>
  <c r="W53" i="157"/>
  <c r="S53" i="157"/>
  <c r="O53" i="157"/>
  <c r="J53" i="157"/>
  <c r="BW52" i="157"/>
  <c r="BS52" i="157"/>
  <c r="BO52" i="157"/>
  <c r="BK52" i="157"/>
  <c r="BG52" i="157"/>
  <c r="BC52" i="157"/>
  <c r="AY52" i="157"/>
  <c r="AU52" i="157"/>
  <c r="AQ52" i="157"/>
  <c r="AM52" i="157"/>
  <c r="AI52" i="157"/>
  <c r="AE52" i="157"/>
  <c r="AA52" i="157"/>
  <c r="W52" i="157"/>
  <c r="S52" i="157"/>
  <c r="O52" i="157"/>
  <c r="J52" i="157"/>
  <c r="BW51" i="157"/>
  <c r="BS51" i="157"/>
  <c r="BO51" i="157"/>
  <c r="BK51" i="157"/>
  <c r="BG51" i="157"/>
  <c r="BC51" i="157"/>
  <c r="AY51" i="157"/>
  <c r="AU51" i="157"/>
  <c r="AQ51" i="157"/>
  <c r="AM51" i="157"/>
  <c r="AI51" i="157"/>
  <c r="AE51" i="157"/>
  <c r="AA51" i="157"/>
  <c r="W51" i="157"/>
  <c r="S51" i="157"/>
  <c r="O51" i="157"/>
  <c r="J51" i="157"/>
  <c r="BW50" i="157"/>
  <c r="BS50" i="157"/>
  <c r="BO50" i="157"/>
  <c r="BK50" i="157"/>
  <c r="BG50" i="157"/>
  <c r="BC50" i="157"/>
  <c r="AY50" i="157"/>
  <c r="AU50" i="157"/>
  <c r="AQ50" i="157"/>
  <c r="AM50" i="157"/>
  <c r="AI50" i="157"/>
  <c r="AE50" i="157"/>
  <c r="AA50" i="157"/>
  <c r="W50" i="157"/>
  <c r="S50" i="157"/>
  <c r="O50" i="157"/>
  <c r="J50" i="157"/>
  <c r="BW49" i="157"/>
  <c r="BS49" i="157"/>
  <c r="BO49" i="157"/>
  <c r="BK49" i="157"/>
  <c r="BG49" i="157"/>
  <c r="BC49" i="157"/>
  <c r="AY49" i="157"/>
  <c r="AU49" i="157"/>
  <c r="AQ49" i="157"/>
  <c r="AM49" i="157"/>
  <c r="AI49" i="157"/>
  <c r="AE49" i="157"/>
  <c r="AA49" i="157"/>
  <c r="W49" i="157"/>
  <c r="S49" i="157"/>
  <c r="O49" i="157"/>
  <c r="J49" i="157"/>
  <c r="BW48" i="157"/>
  <c r="BS48" i="157"/>
  <c r="BO48" i="157"/>
  <c r="BK48" i="157"/>
  <c r="BG48" i="157"/>
  <c r="BC48" i="157"/>
  <c r="AY48" i="157"/>
  <c r="AU48" i="157"/>
  <c r="AQ48" i="157"/>
  <c r="AM48" i="157"/>
  <c r="AI48" i="157"/>
  <c r="AE48" i="157"/>
  <c r="AA48" i="157"/>
  <c r="W48" i="157"/>
  <c r="S48" i="157"/>
  <c r="O48" i="157"/>
  <c r="J48" i="157"/>
  <c r="BW47" i="157"/>
  <c r="BS47" i="157"/>
  <c r="BO47" i="157"/>
  <c r="BK47" i="157"/>
  <c r="BG47" i="157"/>
  <c r="BC47" i="157"/>
  <c r="AY47" i="157"/>
  <c r="AU47" i="157"/>
  <c r="AQ47" i="157"/>
  <c r="AM47" i="157"/>
  <c r="AI47" i="157"/>
  <c r="AE47" i="157"/>
  <c r="AA47" i="157"/>
  <c r="W47" i="157"/>
  <c r="S47" i="157"/>
  <c r="O47" i="157"/>
  <c r="J47" i="157"/>
  <c r="BW46" i="157"/>
  <c r="BS46" i="157"/>
  <c r="BO46" i="157"/>
  <c r="BK46" i="157"/>
  <c r="BG46" i="157"/>
  <c r="BC46" i="157"/>
  <c r="AY46" i="157"/>
  <c r="AU46" i="157"/>
  <c r="AQ46" i="157"/>
  <c r="AM46" i="157"/>
  <c r="AI46" i="157"/>
  <c r="AE46" i="157"/>
  <c r="AA46" i="157"/>
  <c r="W46" i="157"/>
  <c r="S46" i="157"/>
  <c r="O46" i="157"/>
  <c r="J46" i="157"/>
  <c r="BW45" i="157"/>
  <c r="BS45" i="157"/>
  <c r="BO45" i="157"/>
  <c r="BK45" i="157"/>
  <c r="BG45" i="157"/>
  <c r="BC45" i="157"/>
  <c r="AY45" i="157"/>
  <c r="AU45" i="157"/>
  <c r="AQ45" i="157"/>
  <c r="AM45" i="157"/>
  <c r="AI45" i="157"/>
  <c r="AE45" i="157"/>
  <c r="AA45" i="157"/>
  <c r="W45" i="157"/>
  <c r="S45" i="157"/>
  <c r="O45" i="157"/>
  <c r="J45" i="157"/>
  <c r="BW44" i="157"/>
  <c r="BS44" i="157"/>
  <c r="BO44" i="157"/>
  <c r="BK44" i="157"/>
  <c r="BG44" i="157"/>
  <c r="BC44" i="157"/>
  <c r="AY44" i="157"/>
  <c r="AU44" i="157"/>
  <c r="AQ44" i="157"/>
  <c r="AM44" i="157"/>
  <c r="AI44" i="157"/>
  <c r="AE44" i="157"/>
  <c r="AA44" i="157"/>
  <c r="W44" i="157"/>
  <c r="S44" i="157"/>
  <c r="O44" i="157"/>
  <c r="J44" i="157"/>
  <c r="BW43" i="157"/>
  <c r="BS43" i="157"/>
  <c r="BO43" i="157"/>
  <c r="BK43" i="157"/>
  <c r="BG43" i="157"/>
  <c r="BC43" i="157"/>
  <c r="AY43" i="157"/>
  <c r="AU43" i="157"/>
  <c r="AQ43" i="157"/>
  <c r="AM43" i="157"/>
  <c r="AI43" i="157"/>
  <c r="AE43" i="157"/>
  <c r="AA43" i="157"/>
  <c r="W43" i="157"/>
  <c r="S43" i="157"/>
  <c r="O43" i="157"/>
  <c r="J43" i="157"/>
  <c r="BW42" i="157"/>
  <c r="BS42" i="157"/>
  <c r="BO42" i="157"/>
  <c r="BK42" i="157"/>
  <c r="BG42" i="157"/>
  <c r="BC42" i="157"/>
  <c r="AY42" i="157"/>
  <c r="AU42" i="157"/>
  <c r="AQ42" i="157"/>
  <c r="AM42" i="157"/>
  <c r="AI42" i="157"/>
  <c r="AE42" i="157"/>
  <c r="AA42" i="157"/>
  <c r="W42" i="157"/>
  <c r="S42" i="157"/>
  <c r="O42" i="157"/>
  <c r="J42" i="157"/>
  <c r="BW41" i="157"/>
  <c r="BS41" i="157"/>
  <c r="BO41" i="157"/>
  <c r="BK41" i="157"/>
  <c r="BG41" i="157"/>
  <c r="BC41" i="157"/>
  <c r="AY41" i="157"/>
  <c r="AU41" i="157"/>
  <c r="AQ41" i="157"/>
  <c r="AM41" i="157"/>
  <c r="AI41" i="157"/>
  <c r="AE41" i="157"/>
  <c r="AA41" i="157"/>
  <c r="W41" i="157"/>
  <c r="S41" i="157"/>
  <c r="O41" i="157"/>
  <c r="J41" i="157"/>
  <c r="BW40" i="157"/>
  <c r="BS40" i="157"/>
  <c r="BO40" i="157"/>
  <c r="BK40" i="157"/>
  <c r="BG40" i="157"/>
  <c r="BC40" i="157"/>
  <c r="AY40" i="157"/>
  <c r="AU40" i="157"/>
  <c r="AQ40" i="157"/>
  <c r="AM40" i="157"/>
  <c r="AI40" i="157"/>
  <c r="AE40" i="157"/>
  <c r="AA40" i="157"/>
  <c r="W40" i="157"/>
  <c r="S40" i="157"/>
  <c r="O40" i="157"/>
  <c r="J40" i="157"/>
  <c r="BW39" i="157"/>
  <c r="BS39" i="157"/>
  <c r="BO39" i="157"/>
  <c r="BK39" i="157"/>
  <c r="BG39" i="157"/>
  <c r="BC39" i="157"/>
  <c r="AY39" i="157"/>
  <c r="AU39" i="157"/>
  <c r="AQ39" i="157"/>
  <c r="AM39" i="157"/>
  <c r="AI39" i="157"/>
  <c r="AE39" i="157"/>
  <c r="AA39" i="157"/>
  <c r="W39" i="157"/>
  <c r="S39" i="157"/>
  <c r="O39" i="157"/>
  <c r="J39" i="157"/>
  <c r="BW38" i="157"/>
  <c r="BS38" i="157"/>
  <c r="BO38" i="157"/>
  <c r="BK38" i="157"/>
  <c r="BG38" i="157"/>
  <c r="BC38" i="157"/>
  <c r="AY38" i="157"/>
  <c r="AU38" i="157"/>
  <c r="AQ38" i="157"/>
  <c r="AM38" i="157"/>
  <c r="AI38" i="157"/>
  <c r="AE38" i="157"/>
  <c r="AA38" i="157"/>
  <c r="W38" i="157"/>
  <c r="S38" i="157"/>
  <c r="O38" i="157"/>
  <c r="J38" i="157"/>
  <c r="BW37" i="157"/>
  <c r="BS37" i="157"/>
  <c r="BO37" i="157"/>
  <c r="BK37" i="157"/>
  <c r="BG37" i="157"/>
  <c r="BC37" i="157"/>
  <c r="AY37" i="157"/>
  <c r="AU37" i="157"/>
  <c r="AQ37" i="157"/>
  <c r="AM37" i="157"/>
  <c r="AI37" i="157"/>
  <c r="AE37" i="157"/>
  <c r="AA37" i="157"/>
  <c r="W37" i="157"/>
  <c r="S37" i="157"/>
  <c r="O37" i="157"/>
  <c r="J37" i="157"/>
  <c r="BW36" i="157"/>
  <c r="BS36" i="157"/>
  <c r="BO36" i="157"/>
  <c r="BK36" i="157"/>
  <c r="BG36" i="157"/>
  <c r="BC36" i="157"/>
  <c r="AY36" i="157"/>
  <c r="AU36" i="157"/>
  <c r="AQ36" i="157"/>
  <c r="AM36" i="157"/>
  <c r="AI36" i="157"/>
  <c r="AE36" i="157"/>
  <c r="AA36" i="157"/>
  <c r="W36" i="157"/>
  <c r="S36" i="157"/>
  <c r="O36" i="157"/>
  <c r="J36" i="157"/>
  <c r="BW35" i="157"/>
  <c r="BS35" i="157"/>
  <c r="BO35" i="157"/>
  <c r="BK35" i="157"/>
  <c r="BG35" i="157"/>
  <c r="BC35" i="157"/>
  <c r="AY35" i="157"/>
  <c r="AU35" i="157"/>
  <c r="AQ35" i="157"/>
  <c r="AM35" i="157"/>
  <c r="AI35" i="157"/>
  <c r="AE35" i="157"/>
  <c r="AA35" i="157"/>
  <c r="W35" i="157"/>
  <c r="S35" i="157"/>
  <c r="O35" i="157"/>
  <c r="J35" i="157"/>
  <c r="BW34" i="157"/>
  <c r="BS34" i="157"/>
  <c r="BO34" i="157"/>
  <c r="BK34" i="157"/>
  <c r="BG34" i="157"/>
  <c r="BC34" i="157"/>
  <c r="AY34" i="157"/>
  <c r="AU34" i="157"/>
  <c r="AQ34" i="157"/>
  <c r="AM34" i="157"/>
  <c r="AI34" i="157"/>
  <c r="AE34" i="157"/>
  <c r="AA34" i="157"/>
  <c r="W34" i="157"/>
  <c r="S34" i="157"/>
  <c r="O34" i="157"/>
  <c r="J34" i="157"/>
  <c r="BW33" i="157"/>
  <c r="BS33" i="157"/>
  <c r="BO33" i="157"/>
  <c r="BK33" i="157"/>
  <c r="BG33" i="157"/>
  <c r="BC33" i="157"/>
  <c r="AY33" i="157"/>
  <c r="AU33" i="157"/>
  <c r="AQ33" i="157"/>
  <c r="AM33" i="157"/>
  <c r="AI33" i="157"/>
  <c r="AE33" i="157"/>
  <c r="AA33" i="157"/>
  <c r="W33" i="157"/>
  <c r="S33" i="157"/>
  <c r="O33" i="157"/>
  <c r="J33" i="157"/>
  <c r="BW32" i="157"/>
  <c r="BS32" i="157"/>
  <c r="BO32" i="157"/>
  <c r="BK32" i="157"/>
  <c r="BG32" i="157"/>
  <c r="BC32" i="157"/>
  <c r="AY32" i="157"/>
  <c r="AU32" i="157"/>
  <c r="AQ32" i="157"/>
  <c r="AM32" i="157"/>
  <c r="AI32" i="157"/>
  <c r="AE32" i="157"/>
  <c r="AA32" i="157"/>
  <c r="W32" i="157"/>
  <c r="S32" i="157"/>
  <c r="O32" i="157"/>
  <c r="J32" i="157"/>
  <c r="BW31" i="157"/>
  <c r="BS31" i="157"/>
  <c r="BO31" i="157"/>
  <c r="BK31" i="157"/>
  <c r="BG31" i="157"/>
  <c r="BC31" i="157"/>
  <c r="AY31" i="157"/>
  <c r="AU31" i="157"/>
  <c r="AQ31" i="157"/>
  <c r="AM31" i="157"/>
  <c r="AI31" i="157"/>
  <c r="AE31" i="157"/>
  <c r="AA31" i="157"/>
  <c r="W31" i="157"/>
  <c r="S31" i="157"/>
  <c r="O31" i="157"/>
  <c r="J31" i="157"/>
  <c r="BW30" i="157"/>
  <c r="BS30" i="157"/>
  <c r="BO30" i="157"/>
  <c r="BK30" i="157"/>
  <c r="BG30" i="157"/>
  <c r="BC30" i="157"/>
  <c r="AY30" i="157"/>
  <c r="AU30" i="157"/>
  <c r="AQ30" i="157"/>
  <c r="AM30" i="157"/>
  <c r="AI30" i="157"/>
  <c r="AE30" i="157"/>
  <c r="AA30" i="157"/>
  <c r="W30" i="157"/>
  <c r="S30" i="157"/>
  <c r="O30" i="157"/>
  <c r="J30" i="157"/>
  <c r="BW29" i="157"/>
  <c r="BS29" i="157"/>
  <c r="BO29" i="157"/>
  <c r="BK29" i="157"/>
  <c r="BG29" i="157"/>
  <c r="BC29" i="157"/>
  <c r="AY29" i="157"/>
  <c r="AU29" i="157"/>
  <c r="AQ29" i="157"/>
  <c r="AM29" i="157"/>
  <c r="AI29" i="157"/>
  <c r="AE29" i="157"/>
  <c r="AA29" i="157"/>
  <c r="W29" i="157"/>
  <c r="S29" i="157"/>
  <c r="O29" i="157"/>
  <c r="J29" i="157"/>
  <c r="BW28" i="157"/>
  <c r="BS28" i="157"/>
  <c r="BO28" i="157"/>
  <c r="BK28" i="157"/>
  <c r="BG28" i="157"/>
  <c r="BC28" i="157"/>
  <c r="AY28" i="157"/>
  <c r="AU28" i="157"/>
  <c r="AQ28" i="157"/>
  <c r="AM28" i="157"/>
  <c r="AI28" i="157"/>
  <c r="AE28" i="157"/>
  <c r="AA28" i="157"/>
  <c r="W28" i="157"/>
  <c r="S28" i="157"/>
  <c r="O28" i="157"/>
  <c r="J28" i="157"/>
  <c r="BW27" i="157"/>
  <c r="BS27" i="157"/>
  <c r="BO27" i="157"/>
  <c r="BK27" i="157"/>
  <c r="BG27" i="157"/>
  <c r="BC27" i="157"/>
  <c r="AY27" i="157"/>
  <c r="AU27" i="157"/>
  <c r="AQ27" i="157"/>
  <c r="AM27" i="157"/>
  <c r="AI27" i="157"/>
  <c r="AE27" i="157"/>
  <c r="AA27" i="157"/>
  <c r="W27" i="157"/>
  <c r="S27" i="157"/>
  <c r="O27" i="157"/>
  <c r="J27" i="157"/>
  <c r="BW26" i="157"/>
  <c r="BS26" i="157"/>
  <c r="BO26" i="157"/>
  <c r="BK26" i="157"/>
  <c r="BG26" i="157"/>
  <c r="BC26" i="157"/>
  <c r="AY26" i="157"/>
  <c r="AU26" i="157"/>
  <c r="AQ26" i="157"/>
  <c r="AM26" i="157"/>
  <c r="AI26" i="157"/>
  <c r="AE26" i="157"/>
  <c r="AA26" i="157"/>
  <c r="W26" i="157"/>
  <c r="S26" i="157"/>
  <c r="O26" i="157"/>
  <c r="J26" i="157"/>
  <c r="BW25" i="157"/>
  <c r="BS25" i="157"/>
  <c r="BO25" i="157"/>
  <c r="BK25" i="157"/>
  <c r="BG25" i="157"/>
  <c r="BC25" i="157"/>
  <c r="AY25" i="157"/>
  <c r="AU25" i="157"/>
  <c r="AQ25" i="157"/>
  <c r="AM25" i="157"/>
  <c r="AI25" i="157"/>
  <c r="AE25" i="157"/>
  <c r="AA25" i="157"/>
  <c r="W25" i="157"/>
  <c r="S25" i="157"/>
  <c r="O25" i="157"/>
  <c r="J25" i="157"/>
  <c r="BW24" i="157"/>
  <c r="BS24" i="157"/>
  <c r="BO24" i="157"/>
  <c r="BK24" i="157"/>
  <c r="BG24" i="157"/>
  <c r="BC24" i="157"/>
  <c r="AY24" i="157"/>
  <c r="AU24" i="157"/>
  <c r="AQ24" i="157"/>
  <c r="AM24" i="157"/>
  <c r="AI24" i="157"/>
  <c r="AE24" i="157"/>
  <c r="AA24" i="157"/>
  <c r="W24" i="157"/>
  <c r="S24" i="157"/>
  <c r="O24" i="157"/>
  <c r="J24" i="157"/>
  <c r="BW23" i="157"/>
  <c r="BS23" i="157"/>
  <c r="BO23" i="157"/>
  <c r="BK23" i="157"/>
  <c r="BG23" i="157"/>
  <c r="BC23" i="157"/>
  <c r="AY23" i="157"/>
  <c r="AU23" i="157"/>
  <c r="AQ23" i="157"/>
  <c r="AM23" i="157"/>
  <c r="AI23" i="157"/>
  <c r="AE23" i="157"/>
  <c r="AA23" i="157"/>
  <c r="W23" i="157"/>
  <c r="S23" i="157"/>
  <c r="O23" i="157"/>
  <c r="J23" i="157"/>
  <c r="BW22" i="157"/>
  <c r="BS22" i="157"/>
  <c r="BO22" i="157"/>
  <c r="BK22" i="157"/>
  <c r="BG22" i="157"/>
  <c r="BC22" i="157"/>
  <c r="AY22" i="157"/>
  <c r="AU22" i="157"/>
  <c r="AQ22" i="157"/>
  <c r="AM22" i="157"/>
  <c r="AI22" i="157"/>
  <c r="AE22" i="157"/>
  <c r="AA22" i="157"/>
  <c r="W22" i="157"/>
  <c r="S22" i="157"/>
  <c r="O22" i="157"/>
  <c r="J22" i="157"/>
  <c r="BW21" i="157"/>
  <c r="BS21" i="157"/>
  <c r="BO21" i="157"/>
  <c r="BK21" i="157"/>
  <c r="BG21" i="157"/>
  <c r="BC21" i="157"/>
  <c r="AY21" i="157"/>
  <c r="AU21" i="157"/>
  <c r="AQ21" i="157"/>
  <c r="AM21" i="157"/>
  <c r="AI21" i="157"/>
  <c r="AE21" i="157"/>
  <c r="AA21" i="157"/>
  <c r="W21" i="157"/>
  <c r="S21" i="157"/>
  <c r="O21" i="157"/>
  <c r="J21" i="157"/>
  <c r="BW20" i="157"/>
  <c r="BS20" i="157"/>
  <c r="BO20" i="157"/>
  <c r="BK20" i="157"/>
  <c r="BG20" i="157"/>
  <c r="BC20" i="157"/>
  <c r="AY20" i="157"/>
  <c r="AU20" i="157"/>
  <c r="AQ20" i="157"/>
  <c r="AM20" i="157"/>
  <c r="AI20" i="157"/>
  <c r="AE20" i="157"/>
  <c r="AA20" i="157"/>
  <c r="W20" i="157"/>
  <c r="S20" i="157"/>
  <c r="O20" i="157"/>
  <c r="J20" i="157"/>
  <c r="BW19" i="157"/>
  <c r="BS19" i="157"/>
  <c r="BO19" i="157"/>
  <c r="BK19" i="157"/>
  <c r="BG19" i="157"/>
  <c r="BC19" i="157"/>
  <c r="AY19" i="157"/>
  <c r="AU19" i="157"/>
  <c r="AQ19" i="157"/>
  <c r="AM19" i="157"/>
  <c r="AI19" i="157"/>
  <c r="AE19" i="157"/>
  <c r="AA19" i="157"/>
  <c r="W19" i="157"/>
  <c r="S19" i="157"/>
  <c r="O19" i="157"/>
  <c r="J19" i="157"/>
  <c r="BW18" i="157"/>
  <c r="BS18" i="157"/>
  <c r="BO18" i="157"/>
  <c r="BK18" i="157"/>
  <c r="BG18" i="157"/>
  <c r="BC18" i="157"/>
  <c r="AY18" i="157"/>
  <c r="AU18" i="157"/>
  <c r="AQ18" i="157"/>
  <c r="AM18" i="157"/>
  <c r="AI18" i="157"/>
  <c r="AE18" i="157"/>
  <c r="AA18" i="157"/>
  <c r="W18" i="157"/>
  <c r="S18" i="157"/>
  <c r="O18" i="157"/>
  <c r="J18" i="157"/>
  <c r="BW17" i="157"/>
  <c r="BS17" i="157"/>
  <c r="BO17" i="157"/>
  <c r="BK17" i="157"/>
  <c r="BG17" i="157"/>
  <c r="BC17" i="157"/>
  <c r="AY17" i="157"/>
  <c r="AU17" i="157"/>
  <c r="AQ17" i="157"/>
  <c r="AM17" i="157"/>
  <c r="AI17" i="157"/>
  <c r="AE17" i="157"/>
  <c r="AA17" i="157"/>
  <c r="W17" i="157"/>
  <c r="S17" i="157"/>
  <c r="O17" i="157"/>
  <c r="J17" i="157"/>
  <c r="BW16" i="157"/>
  <c r="BS16" i="157"/>
  <c r="BO16" i="157"/>
  <c r="BK16" i="157"/>
  <c r="BG16" i="157"/>
  <c r="BC16" i="157"/>
  <c r="AY16" i="157"/>
  <c r="AU16" i="157"/>
  <c r="AQ16" i="157"/>
  <c r="AM16" i="157"/>
  <c r="AI16" i="157"/>
  <c r="AE16" i="157"/>
  <c r="AA16" i="157"/>
  <c r="W16" i="157"/>
  <c r="S16" i="157"/>
  <c r="O16" i="157"/>
  <c r="J16" i="157"/>
  <c r="BW15" i="157"/>
  <c r="BS15" i="157"/>
  <c r="BO15" i="157"/>
  <c r="BK15" i="157"/>
  <c r="BG15" i="157"/>
  <c r="BC15" i="157"/>
  <c r="AY15" i="157"/>
  <c r="AU15" i="157"/>
  <c r="AQ15" i="157"/>
  <c r="AM15" i="157"/>
  <c r="AI15" i="157"/>
  <c r="AE15" i="157"/>
  <c r="AA15" i="157"/>
  <c r="W15" i="157"/>
  <c r="S15" i="157"/>
  <c r="O15" i="157"/>
  <c r="J15" i="157"/>
  <c r="BW14" i="157"/>
  <c r="BS14" i="157"/>
  <c r="BO14" i="157"/>
  <c r="BK14" i="157"/>
  <c r="BG14" i="157"/>
  <c r="BC14" i="157"/>
  <c r="AY14" i="157"/>
  <c r="AU14" i="157"/>
  <c r="AQ14" i="157"/>
  <c r="AM14" i="157"/>
  <c r="AI14" i="157"/>
  <c r="AE14" i="157"/>
  <c r="AA14" i="157"/>
  <c r="W14" i="157"/>
  <c r="S14" i="157"/>
  <c r="O14" i="157"/>
  <c r="J14" i="157"/>
  <c r="BW13" i="157"/>
  <c r="BS13" i="157"/>
  <c r="BO13" i="157"/>
  <c r="BK13" i="157"/>
  <c r="BG13" i="157"/>
  <c r="BC13" i="157"/>
  <c r="AY13" i="157"/>
  <c r="AU13" i="157"/>
  <c r="AQ13" i="157"/>
  <c r="AM13" i="157"/>
  <c r="AI13" i="157"/>
  <c r="AE13" i="157"/>
  <c r="AA13" i="157"/>
  <c r="W13" i="157"/>
  <c r="S13" i="157"/>
  <c r="O13" i="157"/>
  <c r="J13" i="157"/>
  <c r="BW12" i="157"/>
  <c r="BS12" i="157"/>
  <c r="BO12" i="157"/>
  <c r="BK12" i="157"/>
  <c r="BG12" i="157"/>
  <c r="BC12" i="157"/>
  <c r="AY12" i="157"/>
  <c r="AU12" i="157"/>
  <c r="AQ12" i="157"/>
  <c r="AM12" i="157"/>
  <c r="AI12" i="157"/>
  <c r="AE12" i="157"/>
  <c r="AA12" i="157"/>
  <c r="W12" i="157"/>
  <c r="S12" i="157"/>
  <c r="O12" i="157"/>
  <c r="J12" i="157"/>
  <c r="BW11" i="157"/>
  <c r="BS11" i="157"/>
  <c r="BO11" i="157"/>
  <c r="BK11" i="157"/>
  <c r="BG11" i="157"/>
  <c r="BC11" i="157"/>
  <c r="AY11" i="157"/>
  <c r="AU11" i="157"/>
  <c r="AQ11" i="157"/>
  <c r="AM11" i="157"/>
  <c r="AI11" i="157"/>
  <c r="AE11" i="157"/>
  <c r="AA11" i="157"/>
  <c r="W11" i="157"/>
  <c r="S11" i="157"/>
  <c r="O11" i="157"/>
  <c r="J11" i="157"/>
  <c r="BW10" i="157"/>
  <c r="BS10" i="157"/>
  <c r="BO10" i="157"/>
  <c r="BK10" i="157"/>
  <c r="BG10" i="157"/>
  <c r="BC10" i="157"/>
  <c r="AY10" i="157"/>
  <c r="AU10" i="157"/>
  <c r="AQ10" i="157"/>
  <c r="AM10" i="157"/>
  <c r="AI10" i="157"/>
  <c r="AE10" i="157"/>
  <c r="AA10" i="157"/>
  <c r="W10" i="157"/>
  <c r="S10" i="157"/>
  <c r="O10" i="157"/>
  <c r="J10" i="157"/>
  <c r="BW9" i="157"/>
  <c r="BS9" i="157"/>
  <c r="BO9" i="157"/>
  <c r="BK9" i="157"/>
  <c r="BG9" i="157"/>
  <c r="BC9" i="157"/>
  <c r="AY9" i="157"/>
  <c r="AU9" i="157"/>
  <c r="AQ9" i="157"/>
  <c r="AM9" i="157"/>
  <c r="AI9" i="157"/>
  <c r="AE9" i="157"/>
  <c r="AA9" i="157"/>
  <c r="W9" i="157"/>
  <c r="S9" i="157"/>
  <c r="O9" i="157"/>
  <c r="J9" i="157"/>
  <c r="BW8" i="157"/>
  <c r="BS8" i="157"/>
  <c r="BO8" i="157"/>
  <c r="BK8" i="157"/>
  <c r="BG8" i="157"/>
  <c r="BC8" i="157"/>
  <c r="AY8" i="157"/>
  <c r="AU8" i="157"/>
  <c r="AQ8" i="157"/>
  <c r="AM8" i="157"/>
  <c r="AI8" i="157"/>
  <c r="AE8" i="157"/>
  <c r="AA8" i="157"/>
  <c r="W8" i="157"/>
  <c r="S8" i="157"/>
  <c r="O8" i="157"/>
  <c r="J8" i="157"/>
  <c r="BW7" i="157"/>
  <c r="BS7" i="157"/>
  <c r="BO7" i="157"/>
  <c r="BK7" i="157"/>
  <c r="BG7" i="157"/>
  <c r="BC7" i="157"/>
  <c r="AY7" i="157"/>
  <c r="AU7" i="157"/>
  <c r="AQ7" i="157"/>
  <c r="AM7" i="157"/>
  <c r="AI7" i="157"/>
  <c r="AE7" i="157"/>
  <c r="AA7" i="157"/>
  <c r="W7" i="157"/>
  <c r="S7" i="157"/>
  <c r="O7" i="157"/>
  <c r="J7" i="157"/>
  <c r="BU6" i="157"/>
  <c r="BS6" i="157"/>
  <c r="BR6" i="157"/>
  <c r="BJ6" i="157"/>
  <c r="BK6" i="157" s="1"/>
  <c r="BI6" i="157"/>
  <c r="BH6" i="157"/>
  <c r="BG6" i="157"/>
  <c r="BF6" i="157"/>
  <c r="BC6" i="157"/>
  <c r="BB6" i="157"/>
  <c r="BA6" i="157"/>
  <c r="AW6" i="157"/>
  <c r="AT6" i="157"/>
  <c r="AU6" i="157" s="1"/>
  <c r="AL6" i="157"/>
  <c r="AM6" i="157" s="1"/>
  <c r="AK6" i="157"/>
  <c r="AJ6" i="157"/>
  <c r="AH6" i="157"/>
  <c r="AI6" i="157" s="1"/>
  <c r="AE6" i="157"/>
  <c r="AD6" i="157"/>
  <c r="AC6" i="157"/>
  <c r="Z6" i="157"/>
  <c r="AA6" i="157" s="1"/>
  <c r="Y6" i="157"/>
  <c r="V6" i="157"/>
  <c r="W6" i="157" s="1"/>
  <c r="N6" i="157"/>
  <c r="O6" i="157" s="1"/>
  <c r="M6" i="157"/>
  <c r="L6" i="157"/>
  <c r="BT5" i="157"/>
  <c r="BW5" i="157" s="1"/>
  <c r="BD5" i="157"/>
  <c r="BG5" i="157" s="1"/>
  <c r="BC5" i="157"/>
  <c r="AZ5" i="157"/>
  <c r="AV5" i="157"/>
  <c r="AY5" i="157" s="1"/>
  <c r="AE5" i="157"/>
  <c r="AB5" i="157"/>
  <c r="X5" i="157"/>
  <c r="AA5" i="157" s="1"/>
  <c r="BS4" i="157"/>
  <c r="BT4" i="157" s="1"/>
  <c r="BP4" i="157"/>
  <c r="BO4" i="157"/>
  <c r="BQ6" i="157" s="1"/>
  <c r="BK4" i="157"/>
  <c r="BN6" i="157" s="1"/>
  <c r="BO6" i="157" s="1"/>
  <c r="BG4" i="157"/>
  <c r="BH4" i="157" s="1"/>
  <c r="BD4" i="157"/>
  <c r="BC4" i="157"/>
  <c r="BE6" i="157" s="1"/>
  <c r="AZ4" i="157"/>
  <c r="AY4" i="157"/>
  <c r="AZ6" i="157" s="1"/>
  <c r="AU4" i="157"/>
  <c r="AV4" i="157" s="1"/>
  <c r="AR4" i="157"/>
  <c r="AQ4" i="157"/>
  <c r="AS6" i="157" s="1"/>
  <c r="AM4" i="157"/>
  <c r="AP6" i="157" s="1"/>
  <c r="AQ6" i="157" s="1"/>
  <c r="AI4" i="157"/>
  <c r="AJ4" i="157" s="1"/>
  <c r="AF4" i="157"/>
  <c r="AE4" i="157"/>
  <c r="AG6" i="157" s="1"/>
  <c r="AB4" i="157"/>
  <c r="AA4" i="157"/>
  <c r="AB6" i="157" s="1"/>
  <c r="W4" i="157"/>
  <c r="X4" i="157" s="1"/>
  <c r="T4" i="157"/>
  <c r="S4" i="157"/>
  <c r="U6" i="157" s="1"/>
  <c r="O4" i="157"/>
  <c r="R6" i="157" s="1"/>
  <c r="S6" i="157" s="1"/>
  <c r="K4" i="157"/>
  <c r="L4" i="157" s="1"/>
  <c r="J4" i="157"/>
  <c r="BT3" i="157"/>
  <c r="BP3" i="157"/>
  <c r="BL3" i="157"/>
  <c r="BH3" i="157"/>
  <c r="BD3" i="157"/>
  <c r="AZ3" i="157"/>
  <c r="AV3" i="157"/>
  <c r="AR3" i="157"/>
  <c r="AN3" i="157"/>
  <c r="AJ3" i="157"/>
  <c r="AF3" i="157"/>
  <c r="AB3" i="157"/>
  <c r="X3" i="157"/>
  <c r="T3" i="157"/>
  <c r="P3" i="157"/>
  <c r="L3" i="157"/>
  <c r="J3" i="157"/>
  <c r="J2" i="157"/>
  <c r="F1" i="157"/>
  <c r="BW82" i="156"/>
  <c r="BS82" i="156"/>
  <c r="BO82" i="156"/>
  <c r="BK82" i="156"/>
  <c r="BG82" i="156"/>
  <c r="BC82" i="156"/>
  <c r="AY82" i="156"/>
  <c r="AU82" i="156"/>
  <c r="AQ82" i="156"/>
  <c r="AM82" i="156"/>
  <c r="AI82" i="156"/>
  <c r="AE82" i="156"/>
  <c r="AA82" i="156"/>
  <c r="W82" i="156"/>
  <c r="S82" i="156"/>
  <c r="O82" i="156"/>
  <c r="J82" i="156"/>
  <c r="BW81" i="156"/>
  <c r="BS81" i="156"/>
  <c r="BO81" i="156"/>
  <c r="BK81" i="156"/>
  <c r="BG81" i="156"/>
  <c r="BC81" i="156"/>
  <c r="AY81" i="156"/>
  <c r="AU81" i="156"/>
  <c r="AQ81" i="156"/>
  <c r="AM81" i="156"/>
  <c r="AI81" i="156"/>
  <c r="AE81" i="156"/>
  <c r="AA81" i="156"/>
  <c r="W81" i="156"/>
  <c r="S81" i="156"/>
  <c r="O81" i="156"/>
  <c r="J81" i="156"/>
  <c r="BW80" i="156"/>
  <c r="BS80" i="156"/>
  <c r="BO80" i="156"/>
  <c r="BK80" i="156"/>
  <c r="BG80" i="156"/>
  <c r="BC80" i="156"/>
  <c r="AY80" i="156"/>
  <c r="AU80" i="156"/>
  <c r="AQ80" i="156"/>
  <c r="AM80" i="156"/>
  <c r="AI80" i="156"/>
  <c r="AE80" i="156"/>
  <c r="AA80" i="156"/>
  <c r="W80" i="156"/>
  <c r="S80" i="156"/>
  <c r="O80" i="156"/>
  <c r="J80" i="156"/>
  <c r="BW79" i="156"/>
  <c r="BS79" i="156"/>
  <c r="BO79" i="156"/>
  <c r="BK79" i="156"/>
  <c r="BG79" i="156"/>
  <c r="BC79" i="156"/>
  <c r="AY79" i="156"/>
  <c r="AU79" i="156"/>
  <c r="AQ79" i="156"/>
  <c r="AM79" i="156"/>
  <c r="AI79" i="156"/>
  <c r="AE79" i="156"/>
  <c r="AA79" i="156"/>
  <c r="W79" i="156"/>
  <c r="S79" i="156"/>
  <c r="O79" i="156"/>
  <c r="J79" i="156"/>
  <c r="BW78" i="156"/>
  <c r="BS78" i="156"/>
  <c r="BO78" i="156"/>
  <c r="BK78" i="156"/>
  <c r="BG78" i="156"/>
  <c r="BC78" i="156"/>
  <c r="AY78" i="156"/>
  <c r="AU78" i="156"/>
  <c r="AQ78" i="156"/>
  <c r="AM78" i="156"/>
  <c r="AI78" i="156"/>
  <c r="AE78" i="156"/>
  <c r="AA78" i="156"/>
  <c r="W78" i="156"/>
  <c r="S78" i="156"/>
  <c r="O78" i="156"/>
  <c r="J78" i="156"/>
  <c r="BW77" i="156"/>
  <c r="BS77" i="156"/>
  <c r="BO77" i="156"/>
  <c r="BK77" i="156"/>
  <c r="BG77" i="156"/>
  <c r="BC77" i="156"/>
  <c r="AY77" i="156"/>
  <c r="AU77" i="156"/>
  <c r="AQ77" i="156"/>
  <c r="AM77" i="156"/>
  <c r="AI77" i="156"/>
  <c r="AE77" i="156"/>
  <c r="AA77" i="156"/>
  <c r="W77" i="156"/>
  <c r="S77" i="156"/>
  <c r="O77" i="156"/>
  <c r="J77" i="156"/>
  <c r="BW76" i="156"/>
  <c r="BS76" i="156"/>
  <c r="BO76" i="156"/>
  <c r="BK76" i="156"/>
  <c r="BG76" i="156"/>
  <c r="BC76" i="156"/>
  <c r="AY76" i="156"/>
  <c r="AU76" i="156"/>
  <c r="AQ76" i="156"/>
  <c r="AM76" i="156"/>
  <c r="AI76" i="156"/>
  <c r="AE76" i="156"/>
  <c r="AA76" i="156"/>
  <c r="W76" i="156"/>
  <c r="S76" i="156"/>
  <c r="O76" i="156"/>
  <c r="J76" i="156"/>
  <c r="BW75" i="156"/>
  <c r="BS75" i="156"/>
  <c r="BO75" i="156"/>
  <c r="BK75" i="156"/>
  <c r="BG75" i="156"/>
  <c r="BC75" i="156"/>
  <c r="AY75" i="156"/>
  <c r="AU75" i="156"/>
  <c r="AQ75" i="156"/>
  <c r="AM75" i="156"/>
  <c r="AI75" i="156"/>
  <c r="AE75" i="156"/>
  <c r="AA75" i="156"/>
  <c r="W75" i="156"/>
  <c r="S75" i="156"/>
  <c r="O75" i="156"/>
  <c r="J75" i="156"/>
  <c r="BW74" i="156"/>
  <c r="BS74" i="156"/>
  <c r="BO74" i="156"/>
  <c r="BK74" i="156"/>
  <c r="BG74" i="156"/>
  <c r="BC74" i="156"/>
  <c r="AY74" i="156"/>
  <c r="AU74" i="156"/>
  <c r="AQ74" i="156"/>
  <c r="AM74" i="156"/>
  <c r="AI74" i="156"/>
  <c r="AE74" i="156"/>
  <c r="AA74" i="156"/>
  <c r="W74" i="156"/>
  <c r="S74" i="156"/>
  <c r="O74" i="156"/>
  <c r="J74" i="156"/>
  <c r="BW73" i="156"/>
  <c r="BS73" i="156"/>
  <c r="BO73" i="156"/>
  <c r="BK73" i="156"/>
  <c r="BG73" i="156"/>
  <c r="BC73" i="156"/>
  <c r="AY73" i="156"/>
  <c r="AU73" i="156"/>
  <c r="AQ73" i="156"/>
  <c r="AM73" i="156"/>
  <c r="AI73" i="156"/>
  <c r="AE73" i="156"/>
  <c r="AA73" i="156"/>
  <c r="W73" i="156"/>
  <c r="S73" i="156"/>
  <c r="O73" i="156"/>
  <c r="J73" i="156"/>
  <c r="BW72" i="156"/>
  <c r="BS72" i="156"/>
  <c r="BO72" i="156"/>
  <c r="BK72" i="156"/>
  <c r="BG72" i="156"/>
  <c r="BC72" i="156"/>
  <c r="AY72" i="156"/>
  <c r="AU72" i="156"/>
  <c r="AQ72" i="156"/>
  <c r="AM72" i="156"/>
  <c r="AI72" i="156"/>
  <c r="AE72" i="156"/>
  <c r="AA72" i="156"/>
  <c r="W72" i="156"/>
  <c r="S72" i="156"/>
  <c r="O72" i="156"/>
  <c r="J72" i="156"/>
  <c r="BW71" i="156"/>
  <c r="BS71" i="156"/>
  <c r="BO71" i="156"/>
  <c r="BK71" i="156"/>
  <c r="BG71" i="156"/>
  <c r="BC71" i="156"/>
  <c r="AY71" i="156"/>
  <c r="AU71" i="156"/>
  <c r="AQ71" i="156"/>
  <c r="AM71" i="156"/>
  <c r="AI71" i="156"/>
  <c r="AE71" i="156"/>
  <c r="AA71" i="156"/>
  <c r="W71" i="156"/>
  <c r="S71" i="156"/>
  <c r="O71" i="156"/>
  <c r="J71" i="156"/>
  <c r="BW70" i="156"/>
  <c r="BS70" i="156"/>
  <c r="BO70" i="156"/>
  <c r="BK70" i="156"/>
  <c r="BG70" i="156"/>
  <c r="BC70" i="156"/>
  <c r="AY70" i="156"/>
  <c r="AU70" i="156"/>
  <c r="AQ70" i="156"/>
  <c r="AM70" i="156"/>
  <c r="AI70" i="156"/>
  <c r="AE70" i="156"/>
  <c r="AA70" i="156"/>
  <c r="W70" i="156"/>
  <c r="S70" i="156"/>
  <c r="O70" i="156"/>
  <c r="J70" i="156"/>
  <c r="BW69" i="156"/>
  <c r="BS69" i="156"/>
  <c r="BO69" i="156"/>
  <c r="BK69" i="156"/>
  <c r="BG69" i="156"/>
  <c r="BC69" i="156"/>
  <c r="AY69" i="156"/>
  <c r="AU69" i="156"/>
  <c r="AQ69" i="156"/>
  <c r="AM69" i="156"/>
  <c r="AI69" i="156"/>
  <c r="AE69" i="156"/>
  <c r="AA69" i="156"/>
  <c r="W69" i="156"/>
  <c r="S69" i="156"/>
  <c r="O69" i="156"/>
  <c r="J69" i="156"/>
  <c r="BW68" i="156"/>
  <c r="BS68" i="156"/>
  <c r="BO68" i="156"/>
  <c r="BK68" i="156"/>
  <c r="BG68" i="156"/>
  <c r="BC68" i="156"/>
  <c r="AY68" i="156"/>
  <c r="AU68" i="156"/>
  <c r="AQ68" i="156"/>
  <c r="AM68" i="156"/>
  <c r="AI68" i="156"/>
  <c r="AE68" i="156"/>
  <c r="AA68" i="156"/>
  <c r="W68" i="156"/>
  <c r="S68" i="156"/>
  <c r="O68" i="156"/>
  <c r="J68" i="156"/>
  <c r="BW67" i="156"/>
  <c r="BS67" i="156"/>
  <c r="BO67" i="156"/>
  <c r="BK67" i="156"/>
  <c r="BG67" i="156"/>
  <c r="BC67" i="156"/>
  <c r="AY67" i="156"/>
  <c r="AU67" i="156"/>
  <c r="AQ67" i="156"/>
  <c r="AM67" i="156"/>
  <c r="AI67" i="156"/>
  <c r="AE67" i="156"/>
  <c r="AA67" i="156"/>
  <c r="W67" i="156"/>
  <c r="S67" i="156"/>
  <c r="O67" i="156"/>
  <c r="J67" i="156"/>
  <c r="BW66" i="156"/>
  <c r="BS66" i="156"/>
  <c r="BO66" i="156"/>
  <c r="BK66" i="156"/>
  <c r="BG66" i="156"/>
  <c r="BC66" i="156"/>
  <c r="AY66" i="156"/>
  <c r="AU66" i="156"/>
  <c r="AQ66" i="156"/>
  <c r="AM66" i="156"/>
  <c r="AI66" i="156"/>
  <c r="AE66" i="156"/>
  <c r="AA66" i="156"/>
  <c r="W66" i="156"/>
  <c r="S66" i="156"/>
  <c r="O66" i="156"/>
  <c r="J66" i="156"/>
  <c r="BW65" i="156"/>
  <c r="BS65" i="156"/>
  <c r="BO65" i="156"/>
  <c r="BK65" i="156"/>
  <c r="BG65" i="156"/>
  <c r="BC65" i="156"/>
  <c r="AY65" i="156"/>
  <c r="AU65" i="156"/>
  <c r="AQ65" i="156"/>
  <c r="AM65" i="156"/>
  <c r="AI65" i="156"/>
  <c r="AE65" i="156"/>
  <c r="AA65" i="156"/>
  <c r="W65" i="156"/>
  <c r="S65" i="156"/>
  <c r="O65" i="156"/>
  <c r="J65" i="156"/>
  <c r="BW64" i="156"/>
  <c r="BS64" i="156"/>
  <c r="BO64" i="156"/>
  <c r="BK64" i="156"/>
  <c r="BG64" i="156"/>
  <c r="BC64" i="156"/>
  <c r="AY64" i="156"/>
  <c r="AU64" i="156"/>
  <c r="AQ64" i="156"/>
  <c r="AM64" i="156"/>
  <c r="AI64" i="156"/>
  <c r="AE64" i="156"/>
  <c r="AA64" i="156"/>
  <c r="W64" i="156"/>
  <c r="S64" i="156"/>
  <c r="O64" i="156"/>
  <c r="J64" i="156"/>
  <c r="BW63" i="156"/>
  <c r="BS63" i="156"/>
  <c r="BO63" i="156"/>
  <c r="BK63" i="156"/>
  <c r="BG63" i="156"/>
  <c r="BC63" i="156"/>
  <c r="AY63" i="156"/>
  <c r="AU63" i="156"/>
  <c r="AQ63" i="156"/>
  <c r="AM63" i="156"/>
  <c r="AI63" i="156"/>
  <c r="AE63" i="156"/>
  <c r="AA63" i="156"/>
  <c r="W63" i="156"/>
  <c r="S63" i="156"/>
  <c r="O63" i="156"/>
  <c r="J63" i="156"/>
  <c r="BW62" i="156"/>
  <c r="BS62" i="156"/>
  <c r="BO62" i="156"/>
  <c r="BK62" i="156"/>
  <c r="BG62" i="156"/>
  <c r="BC62" i="156"/>
  <c r="AY62" i="156"/>
  <c r="AU62" i="156"/>
  <c r="AQ62" i="156"/>
  <c r="AM62" i="156"/>
  <c r="AI62" i="156"/>
  <c r="AE62" i="156"/>
  <c r="AA62" i="156"/>
  <c r="W62" i="156"/>
  <c r="S62" i="156"/>
  <c r="O62" i="156"/>
  <c r="J62" i="156"/>
  <c r="BW61" i="156"/>
  <c r="BS61" i="156"/>
  <c r="BO61" i="156"/>
  <c r="BK61" i="156"/>
  <c r="BG61" i="156"/>
  <c r="BC61" i="156"/>
  <c r="AY61" i="156"/>
  <c r="AU61" i="156"/>
  <c r="AQ61" i="156"/>
  <c r="AM61" i="156"/>
  <c r="AI61" i="156"/>
  <c r="AE61" i="156"/>
  <c r="AA61" i="156"/>
  <c r="W61" i="156"/>
  <c r="S61" i="156"/>
  <c r="O61" i="156"/>
  <c r="J61" i="156"/>
  <c r="BW60" i="156"/>
  <c r="BS60" i="156"/>
  <c r="BO60" i="156"/>
  <c r="BK60" i="156"/>
  <c r="BG60" i="156"/>
  <c r="BC60" i="156"/>
  <c r="AY60" i="156"/>
  <c r="AU60" i="156"/>
  <c r="AQ60" i="156"/>
  <c r="AM60" i="156"/>
  <c r="AI60" i="156"/>
  <c r="AE60" i="156"/>
  <c r="AA60" i="156"/>
  <c r="W60" i="156"/>
  <c r="S60" i="156"/>
  <c r="O60" i="156"/>
  <c r="J60" i="156"/>
  <c r="BW59" i="156"/>
  <c r="BS59" i="156"/>
  <c r="BO59" i="156"/>
  <c r="BK59" i="156"/>
  <c r="BG59" i="156"/>
  <c r="BC59" i="156"/>
  <c r="AY59" i="156"/>
  <c r="AU59" i="156"/>
  <c r="AQ59" i="156"/>
  <c r="AM59" i="156"/>
  <c r="AI59" i="156"/>
  <c r="AE59" i="156"/>
  <c r="AA59" i="156"/>
  <c r="W59" i="156"/>
  <c r="S59" i="156"/>
  <c r="O59" i="156"/>
  <c r="J59" i="156"/>
  <c r="BW58" i="156"/>
  <c r="BS58" i="156"/>
  <c r="BO58" i="156"/>
  <c r="BK58" i="156"/>
  <c r="BG58" i="156"/>
  <c r="BC58" i="156"/>
  <c r="AY58" i="156"/>
  <c r="AU58" i="156"/>
  <c r="AQ58" i="156"/>
  <c r="AM58" i="156"/>
  <c r="AI58" i="156"/>
  <c r="AE58" i="156"/>
  <c r="AA58" i="156"/>
  <c r="W58" i="156"/>
  <c r="S58" i="156"/>
  <c r="O58" i="156"/>
  <c r="J58" i="156"/>
  <c r="BW57" i="156"/>
  <c r="BS57" i="156"/>
  <c r="BO57" i="156"/>
  <c r="BK57" i="156"/>
  <c r="BG57" i="156"/>
  <c r="BC57" i="156"/>
  <c r="AY57" i="156"/>
  <c r="AU57" i="156"/>
  <c r="AQ57" i="156"/>
  <c r="AM57" i="156"/>
  <c r="AI57" i="156"/>
  <c r="AE57" i="156"/>
  <c r="AA57" i="156"/>
  <c r="W57" i="156"/>
  <c r="S57" i="156"/>
  <c r="O57" i="156"/>
  <c r="J57" i="156"/>
  <c r="BW56" i="156"/>
  <c r="BS56" i="156"/>
  <c r="BO56" i="156"/>
  <c r="BK56" i="156"/>
  <c r="BG56" i="156"/>
  <c r="BC56" i="156"/>
  <c r="AY56" i="156"/>
  <c r="AU56" i="156"/>
  <c r="AQ56" i="156"/>
  <c r="AM56" i="156"/>
  <c r="AI56" i="156"/>
  <c r="AE56" i="156"/>
  <c r="AA56" i="156"/>
  <c r="W56" i="156"/>
  <c r="S56" i="156"/>
  <c r="O56" i="156"/>
  <c r="J56" i="156"/>
  <c r="BW55" i="156"/>
  <c r="BS55" i="156"/>
  <c r="BO55" i="156"/>
  <c r="BK55" i="156"/>
  <c r="BG55" i="156"/>
  <c r="BC55" i="156"/>
  <c r="AY55" i="156"/>
  <c r="AU55" i="156"/>
  <c r="AQ55" i="156"/>
  <c r="AM55" i="156"/>
  <c r="AI55" i="156"/>
  <c r="AE55" i="156"/>
  <c r="AA55" i="156"/>
  <c r="W55" i="156"/>
  <c r="S55" i="156"/>
  <c r="O55" i="156"/>
  <c r="J55" i="156"/>
  <c r="BW54" i="156"/>
  <c r="BS54" i="156"/>
  <c r="BO54" i="156"/>
  <c r="BK54" i="156"/>
  <c r="BG54" i="156"/>
  <c r="BC54" i="156"/>
  <c r="AY54" i="156"/>
  <c r="AU54" i="156"/>
  <c r="AQ54" i="156"/>
  <c r="AM54" i="156"/>
  <c r="AI54" i="156"/>
  <c r="AE54" i="156"/>
  <c r="AA54" i="156"/>
  <c r="W54" i="156"/>
  <c r="S54" i="156"/>
  <c r="O54" i="156"/>
  <c r="J54" i="156"/>
  <c r="BW53" i="156"/>
  <c r="BS53" i="156"/>
  <c r="BO53" i="156"/>
  <c r="BK53" i="156"/>
  <c r="BG53" i="156"/>
  <c r="BC53" i="156"/>
  <c r="AY53" i="156"/>
  <c r="AU53" i="156"/>
  <c r="AQ53" i="156"/>
  <c r="AM53" i="156"/>
  <c r="AI53" i="156"/>
  <c r="AE53" i="156"/>
  <c r="AA53" i="156"/>
  <c r="W53" i="156"/>
  <c r="S53" i="156"/>
  <c r="O53" i="156"/>
  <c r="J53" i="156"/>
  <c r="BW52" i="156"/>
  <c r="BS52" i="156"/>
  <c r="BO52" i="156"/>
  <c r="BK52" i="156"/>
  <c r="BG52" i="156"/>
  <c r="BC52" i="156"/>
  <c r="AY52" i="156"/>
  <c r="AU52" i="156"/>
  <c r="AQ52" i="156"/>
  <c r="AM52" i="156"/>
  <c r="AI52" i="156"/>
  <c r="AE52" i="156"/>
  <c r="AA52" i="156"/>
  <c r="W52" i="156"/>
  <c r="S52" i="156"/>
  <c r="O52" i="156"/>
  <c r="J52" i="156"/>
  <c r="BW51" i="156"/>
  <c r="BS51" i="156"/>
  <c r="BO51" i="156"/>
  <c r="BK51" i="156"/>
  <c r="BG51" i="156"/>
  <c r="BC51" i="156"/>
  <c r="AY51" i="156"/>
  <c r="AU51" i="156"/>
  <c r="AQ51" i="156"/>
  <c r="AM51" i="156"/>
  <c r="AI51" i="156"/>
  <c r="AE51" i="156"/>
  <c r="AA51" i="156"/>
  <c r="W51" i="156"/>
  <c r="S51" i="156"/>
  <c r="O51" i="156"/>
  <c r="J51" i="156"/>
  <c r="BW50" i="156"/>
  <c r="BS50" i="156"/>
  <c r="BO50" i="156"/>
  <c r="BK50" i="156"/>
  <c r="BG50" i="156"/>
  <c r="BC50" i="156"/>
  <c r="AY50" i="156"/>
  <c r="AU50" i="156"/>
  <c r="AQ50" i="156"/>
  <c r="AM50" i="156"/>
  <c r="AI50" i="156"/>
  <c r="AE50" i="156"/>
  <c r="AA50" i="156"/>
  <c r="W50" i="156"/>
  <c r="S50" i="156"/>
  <c r="O50" i="156"/>
  <c r="J50" i="156"/>
  <c r="BW49" i="156"/>
  <c r="BS49" i="156"/>
  <c r="BO49" i="156"/>
  <c r="BK49" i="156"/>
  <c r="BG49" i="156"/>
  <c r="BC49" i="156"/>
  <c r="AY49" i="156"/>
  <c r="AU49" i="156"/>
  <c r="AQ49" i="156"/>
  <c r="AM49" i="156"/>
  <c r="AI49" i="156"/>
  <c r="AE49" i="156"/>
  <c r="AA49" i="156"/>
  <c r="W49" i="156"/>
  <c r="S49" i="156"/>
  <c r="O49" i="156"/>
  <c r="J49" i="156"/>
  <c r="BW48" i="156"/>
  <c r="BS48" i="156"/>
  <c r="BO48" i="156"/>
  <c r="BK48" i="156"/>
  <c r="BG48" i="156"/>
  <c r="BC48" i="156"/>
  <c r="AY48" i="156"/>
  <c r="AU48" i="156"/>
  <c r="AQ48" i="156"/>
  <c r="AM48" i="156"/>
  <c r="AI48" i="156"/>
  <c r="AE48" i="156"/>
  <c r="AA48" i="156"/>
  <c r="W48" i="156"/>
  <c r="S48" i="156"/>
  <c r="O48" i="156"/>
  <c r="J48" i="156"/>
  <c r="BW47" i="156"/>
  <c r="BS47" i="156"/>
  <c r="BO47" i="156"/>
  <c r="BK47" i="156"/>
  <c r="BG47" i="156"/>
  <c r="BC47" i="156"/>
  <c r="AY47" i="156"/>
  <c r="AU47" i="156"/>
  <c r="AQ47" i="156"/>
  <c r="AM47" i="156"/>
  <c r="AI47" i="156"/>
  <c r="AE47" i="156"/>
  <c r="AA47" i="156"/>
  <c r="W47" i="156"/>
  <c r="S47" i="156"/>
  <c r="O47" i="156"/>
  <c r="J47" i="156"/>
  <c r="BW46" i="156"/>
  <c r="BS46" i="156"/>
  <c r="BO46" i="156"/>
  <c r="BK46" i="156"/>
  <c r="BG46" i="156"/>
  <c r="BC46" i="156"/>
  <c r="AY46" i="156"/>
  <c r="AU46" i="156"/>
  <c r="AQ46" i="156"/>
  <c r="AM46" i="156"/>
  <c r="AI46" i="156"/>
  <c r="AE46" i="156"/>
  <c r="AA46" i="156"/>
  <c r="W46" i="156"/>
  <c r="S46" i="156"/>
  <c r="O46" i="156"/>
  <c r="J46" i="156"/>
  <c r="BW45" i="156"/>
  <c r="BS45" i="156"/>
  <c r="BO45" i="156"/>
  <c r="BK45" i="156"/>
  <c r="BG45" i="156"/>
  <c r="BC45" i="156"/>
  <c r="AY45" i="156"/>
  <c r="AU45" i="156"/>
  <c r="AQ45" i="156"/>
  <c r="AM45" i="156"/>
  <c r="AI45" i="156"/>
  <c r="AE45" i="156"/>
  <c r="AA45" i="156"/>
  <c r="W45" i="156"/>
  <c r="S45" i="156"/>
  <c r="O45" i="156"/>
  <c r="J45" i="156"/>
  <c r="BW44" i="156"/>
  <c r="BS44" i="156"/>
  <c r="BO44" i="156"/>
  <c r="BK44" i="156"/>
  <c r="BG44" i="156"/>
  <c r="BC44" i="156"/>
  <c r="AY44" i="156"/>
  <c r="AU44" i="156"/>
  <c r="AQ44" i="156"/>
  <c r="AM44" i="156"/>
  <c r="AI44" i="156"/>
  <c r="AE44" i="156"/>
  <c r="AA44" i="156"/>
  <c r="W44" i="156"/>
  <c r="S44" i="156"/>
  <c r="O44" i="156"/>
  <c r="J44" i="156"/>
  <c r="BW43" i="156"/>
  <c r="BS43" i="156"/>
  <c r="BO43" i="156"/>
  <c r="BK43" i="156"/>
  <c r="BG43" i="156"/>
  <c r="BC43" i="156"/>
  <c r="AY43" i="156"/>
  <c r="AU43" i="156"/>
  <c r="AQ43" i="156"/>
  <c r="AM43" i="156"/>
  <c r="AI43" i="156"/>
  <c r="AE43" i="156"/>
  <c r="AA43" i="156"/>
  <c r="W43" i="156"/>
  <c r="S43" i="156"/>
  <c r="O43" i="156"/>
  <c r="J43" i="156"/>
  <c r="BW42" i="156"/>
  <c r="BS42" i="156"/>
  <c r="BO42" i="156"/>
  <c r="BK42" i="156"/>
  <c r="BG42" i="156"/>
  <c r="BC42" i="156"/>
  <c r="AY42" i="156"/>
  <c r="AU42" i="156"/>
  <c r="AQ42" i="156"/>
  <c r="AM42" i="156"/>
  <c r="AI42" i="156"/>
  <c r="AE42" i="156"/>
  <c r="AA42" i="156"/>
  <c r="W42" i="156"/>
  <c r="S42" i="156"/>
  <c r="O42" i="156"/>
  <c r="J42" i="156"/>
  <c r="BW41" i="156"/>
  <c r="BS41" i="156"/>
  <c r="BO41" i="156"/>
  <c r="BK41" i="156"/>
  <c r="BG41" i="156"/>
  <c r="BC41" i="156"/>
  <c r="AY41" i="156"/>
  <c r="AU41" i="156"/>
  <c r="AQ41" i="156"/>
  <c r="AM41" i="156"/>
  <c r="AI41" i="156"/>
  <c r="AE41" i="156"/>
  <c r="AA41" i="156"/>
  <c r="W41" i="156"/>
  <c r="S41" i="156"/>
  <c r="O41" i="156"/>
  <c r="J41" i="156"/>
  <c r="BW40" i="156"/>
  <c r="BS40" i="156"/>
  <c r="BO40" i="156"/>
  <c r="BK40" i="156"/>
  <c r="BG40" i="156"/>
  <c r="BC40" i="156"/>
  <c r="AY40" i="156"/>
  <c r="AU40" i="156"/>
  <c r="AQ40" i="156"/>
  <c r="AM40" i="156"/>
  <c r="AI40" i="156"/>
  <c r="AE40" i="156"/>
  <c r="AA40" i="156"/>
  <c r="W40" i="156"/>
  <c r="S40" i="156"/>
  <c r="O40" i="156"/>
  <c r="J40" i="156"/>
  <c r="BW39" i="156"/>
  <c r="BS39" i="156"/>
  <c r="BO39" i="156"/>
  <c r="BK39" i="156"/>
  <c r="BG39" i="156"/>
  <c r="BC39" i="156"/>
  <c r="AY39" i="156"/>
  <c r="AU39" i="156"/>
  <c r="AQ39" i="156"/>
  <c r="AM39" i="156"/>
  <c r="AI39" i="156"/>
  <c r="AE39" i="156"/>
  <c r="AA39" i="156"/>
  <c r="W39" i="156"/>
  <c r="S39" i="156"/>
  <c r="O39" i="156"/>
  <c r="J39" i="156"/>
  <c r="BW38" i="156"/>
  <c r="BS38" i="156"/>
  <c r="BO38" i="156"/>
  <c r="BK38" i="156"/>
  <c r="BG38" i="156"/>
  <c r="BC38" i="156"/>
  <c r="AY38" i="156"/>
  <c r="AU38" i="156"/>
  <c r="AQ38" i="156"/>
  <c r="AM38" i="156"/>
  <c r="AI38" i="156"/>
  <c r="AE38" i="156"/>
  <c r="AA38" i="156"/>
  <c r="W38" i="156"/>
  <c r="S38" i="156"/>
  <c r="O38" i="156"/>
  <c r="J38" i="156"/>
  <c r="BW37" i="156"/>
  <c r="BS37" i="156"/>
  <c r="BO37" i="156"/>
  <c r="BK37" i="156"/>
  <c r="BG37" i="156"/>
  <c r="BC37" i="156"/>
  <c r="AY37" i="156"/>
  <c r="AU37" i="156"/>
  <c r="AQ37" i="156"/>
  <c r="AM37" i="156"/>
  <c r="AI37" i="156"/>
  <c r="AE37" i="156"/>
  <c r="AA37" i="156"/>
  <c r="W37" i="156"/>
  <c r="S37" i="156"/>
  <c r="O37" i="156"/>
  <c r="J37" i="156"/>
  <c r="BW36" i="156"/>
  <c r="BS36" i="156"/>
  <c r="BO36" i="156"/>
  <c r="BK36" i="156"/>
  <c r="BG36" i="156"/>
  <c r="BC36" i="156"/>
  <c r="AY36" i="156"/>
  <c r="AU36" i="156"/>
  <c r="AQ36" i="156"/>
  <c r="AM36" i="156"/>
  <c r="AI36" i="156"/>
  <c r="AE36" i="156"/>
  <c r="AA36" i="156"/>
  <c r="W36" i="156"/>
  <c r="S36" i="156"/>
  <c r="O36" i="156"/>
  <c r="J36" i="156"/>
  <c r="BW35" i="156"/>
  <c r="BS35" i="156"/>
  <c r="BO35" i="156"/>
  <c r="BK35" i="156"/>
  <c r="BG35" i="156"/>
  <c r="BC35" i="156"/>
  <c r="AY35" i="156"/>
  <c r="AU35" i="156"/>
  <c r="AQ35" i="156"/>
  <c r="AM35" i="156"/>
  <c r="AI35" i="156"/>
  <c r="AE35" i="156"/>
  <c r="AA35" i="156"/>
  <c r="W35" i="156"/>
  <c r="S35" i="156"/>
  <c r="O35" i="156"/>
  <c r="J35" i="156"/>
  <c r="BW34" i="156"/>
  <c r="BS34" i="156"/>
  <c r="BO34" i="156"/>
  <c r="BK34" i="156"/>
  <c r="BG34" i="156"/>
  <c r="BC34" i="156"/>
  <c r="AY34" i="156"/>
  <c r="AU34" i="156"/>
  <c r="AQ34" i="156"/>
  <c r="AM34" i="156"/>
  <c r="AI34" i="156"/>
  <c r="AE34" i="156"/>
  <c r="AA34" i="156"/>
  <c r="W34" i="156"/>
  <c r="S34" i="156"/>
  <c r="O34" i="156"/>
  <c r="J34" i="156"/>
  <c r="BW33" i="156"/>
  <c r="BS33" i="156"/>
  <c r="BO33" i="156"/>
  <c r="BK33" i="156"/>
  <c r="BG33" i="156"/>
  <c r="BC33" i="156"/>
  <c r="AY33" i="156"/>
  <c r="AU33" i="156"/>
  <c r="AQ33" i="156"/>
  <c r="AM33" i="156"/>
  <c r="AI33" i="156"/>
  <c r="AE33" i="156"/>
  <c r="AA33" i="156"/>
  <c r="W33" i="156"/>
  <c r="S33" i="156"/>
  <c r="O33" i="156"/>
  <c r="J33" i="156"/>
  <c r="BW32" i="156"/>
  <c r="BS32" i="156"/>
  <c r="BO32" i="156"/>
  <c r="BK32" i="156"/>
  <c r="BG32" i="156"/>
  <c r="BC32" i="156"/>
  <c r="AY32" i="156"/>
  <c r="AU32" i="156"/>
  <c r="AQ32" i="156"/>
  <c r="AM32" i="156"/>
  <c r="AI32" i="156"/>
  <c r="AE32" i="156"/>
  <c r="AA32" i="156"/>
  <c r="W32" i="156"/>
  <c r="S32" i="156"/>
  <c r="O32" i="156"/>
  <c r="J32" i="156"/>
  <c r="BW31" i="156"/>
  <c r="BS31" i="156"/>
  <c r="BO31" i="156"/>
  <c r="BK31" i="156"/>
  <c r="BG31" i="156"/>
  <c r="BC31" i="156"/>
  <c r="AY31" i="156"/>
  <c r="AU31" i="156"/>
  <c r="AQ31" i="156"/>
  <c r="AM31" i="156"/>
  <c r="AI31" i="156"/>
  <c r="AE31" i="156"/>
  <c r="AA31" i="156"/>
  <c r="W31" i="156"/>
  <c r="S31" i="156"/>
  <c r="O31" i="156"/>
  <c r="J31" i="156"/>
  <c r="BW30" i="156"/>
  <c r="BS30" i="156"/>
  <c r="BO30" i="156"/>
  <c r="BK30" i="156"/>
  <c r="BG30" i="156"/>
  <c r="BC30" i="156"/>
  <c r="AY30" i="156"/>
  <c r="AU30" i="156"/>
  <c r="AQ30" i="156"/>
  <c r="AM30" i="156"/>
  <c r="AI30" i="156"/>
  <c r="AE30" i="156"/>
  <c r="AA30" i="156"/>
  <c r="W30" i="156"/>
  <c r="S30" i="156"/>
  <c r="O30" i="156"/>
  <c r="J30" i="156"/>
  <c r="BW29" i="156"/>
  <c r="BS29" i="156"/>
  <c r="BO29" i="156"/>
  <c r="BK29" i="156"/>
  <c r="BG29" i="156"/>
  <c r="BC29" i="156"/>
  <c r="AY29" i="156"/>
  <c r="AU29" i="156"/>
  <c r="AQ29" i="156"/>
  <c r="AM29" i="156"/>
  <c r="AI29" i="156"/>
  <c r="AE29" i="156"/>
  <c r="AA29" i="156"/>
  <c r="W29" i="156"/>
  <c r="S29" i="156"/>
  <c r="O29" i="156"/>
  <c r="J29" i="156"/>
  <c r="BW28" i="156"/>
  <c r="BS28" i="156"/>
  <c r="BO28" i="156"/>
  <c r="BK28" i="156"/>
  <c r="BG28" i="156"/>
  <c r="BC28" i="156"/>
  <c r="AY28" i="156"/>
  <c r="AU28" i="156"/>
  <c r="AQ28" i="156"/>
  <c r="AM28" i="156"/>
  <c r="AI28" i="156"/>
  <c r="AE28" i="156"/>
  <c r="AA28" i="156"/>
  <c r="W28" i="156"/>
  <c r="S28" i="156"/>
  <c r="O28" i="156"/>
  <c r="J28" i="156"/>
  <c r="BW27" i="156"/>
  <c r="BS27" i="156"/>
  <c r="BO27" i="156"/>
  <c r="BK27" i="156"/>
  <c r="BG27" i="156"/>
  <c r="BC27" i="156"/>
  <c r="AY27" i="156"/>
  <c r="AU27" i="156"/>
  <c r="AQ27" i="156"/>
  <c r="AM27" i="156"/>
  <c r="AI27" i="156"/>
  <c r="AE27" i="156"/>
  <c r="AA27" i="156"/>
  <c r="W27" i="156"/>
  <c r="S27" i="156"/>
  <c r="O27" i="156"/>
  <c r="J27" i="156"/>
  <c r="BW26" i="156"/>
  <c r="BS26" i="156"/>
  <c r="BO26" i="156"/>
  <c r="BK26" i="156"/>
  <c r="BG26" i="156"/>
  <c r="BC26" i="156"/>
  <c r="AY26" i="156"/>
  <c r="AU26" i="156"/>
  <c r="AQ26" i="156"/>
  <c r="AM26" i="156"/>
  <c r="AI26" i="156"/>
  <c r="AE26" i="156"/>
  <c r="AA26" i="156"/>
  <c r="W26" i="156"/>
  <c r="S26" i="156"/>
  <c r="O26" i="156"/>
  <c r="J26" i="156"/>
  <c r="BW25" i="156"/>
  <c r="BS25" i="156"/>
  <c r="BO25" i="156"/>
  <c r="BK25" i="156"/>
  <c r="BG25" i="156"/>
  <c r="BC25" i="156"/>
  <c r="AY25" i="156"/>
  <c r="AU25" i="156"/>
  <c r="AQ25" i="156"/>
  <c r="AM25" i="156"/>
  <c r="AI25" i="156"/>
  <c r="AE25" i="156"/>
  <c r="AA25" i="156"/>
  <c r="W25" i="156"/>
  <c r="S25" i="156"/>
  <c r="O25" i="156"/>
  <c r="J25" i="156"/>
  <c r="BW24" i="156"/>
  <c r="BS24" i="156"/>
  <c r="BO24" i="156"/>
  <c r="BK24" i="156"/>
  <c r="BG24" i="156"/>
  <c r="BC24" i="156"/>
  <c r="AY24" i="156"/>
  <c r="AU24" i="156"/>
  <c r="AQ24" i="156"/>
  <c r="AM24" i="156"/>
  <c r="AI24" i="156"/>
  <c r="AE24" i="156"/>
  <c r="AA24" i="156"/>
  <c r="W24" i="156"/>
  <c r="S24" i="156"/>
  <c r="O24" i="156"/>
  <c r="J24" i="156"/>
  <c r="BW23" i="156"/>
  <c r="BS23" i="156"/>
  <c r="BO23" i="156"/>
  <c r="BK23" i="156"/>
  <c r="BG23" i="156"/>
  <c r="BC23" i="156"/>
  <c r="AY23" i="156"/>
  <c r="AU23" i="156"/>
  <c r="AQ23" i="156"/>
  <c r="AM23" i="156"/>
  <c r="AI23" i="156"/>
  <c r="AE23" i="156"/>
  <c r="AA23" i="156"/>
  <c r="W23" i="156"/>
  <c r="S23" i="156"/>
  <c r="O23" i="156"/>
  <c r="J23" i="156"/>
  <c r="BW22" i="156"/>
  <c r="BS22" i="156"/>
  <c r="BO22" i="156"/>
  <c r="BK22" i="156"/>
  <c r="BG22" i="156"/>
  <c r="BC22" i="156"/>
  <c r="AY22" i="156"/>
  <c r="AU22" i="156"/>
  <c r="AQ22" i="156"/>
  <c r="AM22" i="156"/>
  <c r="AI22" i="156"/>
  <c r="AE22" i="156"/>
  <c r="AA22" i="156"/>
  <c r="W22" i="156"/>
  <c r="S22" i="156"/>
  <c r="O22" i="156"/>
  <c r="J22" i="156"/>
  <c r="BW21" i="156"/>
  <c r="BS21" i="156"/>
  <c r="BO21" i="156"/>
  <c r="BK21" i="156"/>
  <c r="BG21" i="156"/>
  <c r="BC21" i="156"/>
  <c r="AY21" i="156"/>
  <c r="AU21" i="156"/>
  <c r="AQ21" i="156"/>
  <c r="AM21" i="156"/>
  <c r="AI21" i="156"/>
  <c r="AE21" i="156"/>
  <c r="AA21" i="156"/>
  <c r="W21" i="156"/>
  <c r="S21" i="156"/>
  <c r="O21" i="156"/>
  <c r="J21" i="156"/>
  <c r="BW20" i="156"/>
  <c r="BS20" i="156"/>
  <c r="BO20" i="156"/>
  <c r="BK20" i="156"/>
  <c r="BG20" i="156"/>
  <c r="BC20" i="156"/>
  <c r="AY20" i="156"/>
  <c r="AU20" i="156"/>
  <c r="AQ20" i="156"/>
  <c r="AM20" i="156"/>
  <c r="AI20" i="156"/>
  <c r="AE20" i="156"/>
  <c r="AA20" i="156"/>
  <c r="W20" i="156"/>
  <c r="S20" i="156"/>
  <c r="O20" i="156"/>
  <c r="J20" i="156"/>
  <c r="BW19" i="156"/>
  <c r="BS19" i="156"/>
  <c r="BO19" i="156"/>
  <c r="BK19" i="156"/>
  <c r="BG19" i="156"/>
  <c r="BC19" i="156"/>
  <c r="AY19" i="156"/>
  <c r="AU19" i="156"/>
  <c r="AQ19" i="156"/>
  <c r="AM19" i="156"/>
  <c r="AI19" i="156"/>
  <c r="AE19" i="156"/>
  <c r="AA19" i="156"/>
  <c r="W19" i="156"/>
  <c r="S19" i="156"/>
  <c r="O19" i="156"/>
  <c r="J19" i="156"/>
  <c r="BW18" i="156"/>
  <c r="BS18" i="156"/>
  <c r="BO18" i="156"/>
  <c r="BK18" i="156"/>
  <c r="BG18" i="156"/>
  <c r="BC18" i="156"/>
  <c r="AY18" i="156"/>
  <c r="AU18" i="156"/>
  <c r="AQ18" i="156"/>
  <c r="AM18" i="156"/>
  <c r="AI18" i="156"/>
  <c r="AE18" i="156"/>
  <c r="AA18" i="156"/>
  <c r="W18" i="156"/>
  <c r="S18" i="156"/>
  <c r="O18" i="156"/>
  <c r="J18" i="156"/>
  <c r="BW17" i="156"/>
  <c r="BS17" i="156"/>
  <c r="BO17" i="156"/>
  <c r="BK17" i="156"/>
  <c r="BG17" i="156"/>
  <c r="BC17" i="156"/>
  <c r="AY17" i="156"/>
  <c r="AU17" i="156"/>
  <c r="AQ17" i="156"/>
  <c r="AM17" i="156"/>
  <c r="AI17" i="156"/>
  <c r="AE17" i="156"/>
  <c r="AA17" i="156"/>
  <c r="W17" i="156"/>
  <c r="S17" i="156"/>
  <c r="O17" i="156"/>
  <c r="J17" i="156"/>
  <c r="BW16" i="156"/>
  <c r="BS16" i="156"/>
  <c r="BO16" i="156"/>
  <c r="BK16" i="156"/>
  <c r="BG16" i="156"/>
  <c r="BC16" i="156"/>
  <c r="AY16" i="156"/>
  <c r="AU16" i="156"/>
  <c r="AQ16" i="156"/>
  <c r="AM16" i="156"/>
  <c r="AI16" i="156"/>
  <c r="AE16" i="156"/>
  <c r="AA16" i="156"/>
  <c r="W16" i="156"/>
  <c r="S16" i="156"/>
  <c r="O16" i="156"/>
  <c r="J16" i="156"/>
  <c r="BW15" i="156"/>
  <c r="BS15" i="156"/>
  <c r="BO15" i="156"/>
  <c r="BK15" i="156"/>
  <c r="BG15" i="156"/>
  <c r="BC15" i="156"/>
  <c r="AY15" i="156"/>
  <c r="AU15" i="156"/>
  <c r="AQ15" i="156"/>
  <c r="AM15" i="156"/>
  <c r="AI15" i="156"/>
  <c r="AE15" i="156"/>
  <c r="AA15" i="156"/>
  <c r="W15" i="156"/>
  <c r="S15" i="156"/>
  <c r="O15" i="156"/>
  <c r="J15" i="156"/>
  <c r="BW14" i="156"/>
  <c r="BS14" i="156"/>
  <c r="BO14" i="156"/>
  <c r="BK14" i="156"/>
  <c r="BG14" i="156"/>
  <c r="BC14" i="156"/>
  <c r="AY14" i="156"/>
  <c r="AU14" i="156"/>
  <c r="AQ14" i="156"/>
  <c r="AM14" i="156"/>
  <c r="AI14" i="156"/>
  <c r="AE14" i="156"/>
  <c r="AA14" i="156"/>
  <c r="W14" i="156"/>
  <c r="S14" i="156"/>
  <c r="O14" i="156"/>
  <c r="J14" i="156"/>
  <c r="BW13" i="156"/>
  <c r="BS13" i="156"/>
  <c r="BO13" i="156"/>
  <c r="BK13" i="156"/>
  <c r="BG13" i="156"/>
  <c r="BC13" i="156"/>
  <c r="AY13" i="156"/>
  <c r="AU13" i="156"/>
  <c r="AQ13" i="156"/>
  <c r="AM13" i="156"/>
  <c r="AI13" i="156"/>
  <c r="AE13" i="156"/>
  <c r="AA13" i="156"/>
  <c r="W13" i="156"/>
  <c r="S13" i="156"/>
  <c r="O13" i="156"/>
  <c r="J13" i="156"/>
  <c r="BW12" i="156"/>
  <c r="BS12" i="156"/>
  <c r="BO12" i="156"/>
  <c r="BK12" i="156"/>
  <c r="BG12" i="156"/>
  <c r="BC12" i="156"/>
  <c r="AY12" i="156"/>
  <c r="AU12" i="156"/>
  <c r="AQ12" i="156"/>
  <c r="AM12" i="156"/>
  <c r="AI12" i="156"/>
  <c r="AE12" i="156"/>
  <c r="AA12" i="156"/>
  <c r="W12" i="156"/>
  <c r="S12" i="156"/>
  <c r="O12" i="156"/>
  <c r="J12" i="156"/>
  <c r="BW11" i="156"/>
  <c r="BS11" i="156"/>
  <c r="BO11" i="156"/>
  <c r="BK11" i="156"/>
  <c r="BG11" i="156"/>
  <c r="BC11" i="156"/>
  <c r="AY11" i="156"/>
  <c r="AU11" i="156"/>
  <c r="AQ11" i="156"/>
  <c r="AM11" i="156"/>
  <c r="AI11" i="156"/>
  <c r="AE11" i="156"/>
  <c r="AA11" i="156"/>
  <c r="W11" i="156"/>
  <c r="S11" i="156"/>
  <c r="O11" i="156"/>
  <c r="J11" i="156"/>
  <c r="BW10" i="156"/>
  <c r="BS10" i="156"/>
  <c r="BO10" i="156"/>
  <c r="BK10" i="156"/>
  <c r="BG10" i="156"/>
  <c r="BC10" i="156"/>
  <c r="AY10" i="156"/>
  <c r="AU10" i="156"/>
  <c r="AQ10" i="156"/>
  <c r="AM10" i="156"/>
  <c r="AI10" i="156"/>
  <c r="AE10" i="156"/>
  <c r="AA10" i="156"/>
  <c r="W10" i="156"/>
  <c r="S10" i="156"/>
  <c r="O10" i="156"/>
  <c r="J10" i="156"/>
  <c r="BW9" i="156"/>
  <c r="BS9" i="156"/>
  <c r="BO9" i="156"/>
  <c r="BK9" i="156"/>
  <c r="BG9" i="156"/>
  <c r="BC9" i="156"/>
  <c r="AY9" i="156"/>
  <c r="AU9" i="156"/>
  <c r="AQ9" i="156"/>
  <c r="AM9" i="156"/>
  <c r="AI9" i="156"/>
  <c r="AE9" i="156"/>
  <c r="AA9" i="156"/>
  <c r="W9" i="156"/>
  <c r="S9" i="156"/>
  <c r="O9" i="156"/>
  <c r="J9" i="156"/>
  <c r="BW8" i="156"/>
  <c r="BS8" i="156"/>
  <c r="BO8" i="156"/>
  <c r="BK8" i="156"/>
  <c r="BG8" i="156"/>
  <c r="BC8" i="156"/>
  <c r="AY8" i="156"/>
  <c r="AU8" i="156"/>
  <c r="AQ8" i="156"/>
  <c r="AM8" i="156"/>
  <c r="AI8" i="156"/>
  <c r="AE8" i="156"/>
  <c r="AA8" i="156"/>
  <c r="W8" i="156"/>
  <c r="S8" i="156"/>
  <c r="O8" i="156"/>
  <c r="J8" i="156"/>
  <c r="BW7" i="156"/>
  <c r="BS7" i="156"/>
  <c r="BO7" i="156"/>
  <c r="BK7" i="156"/>
  <c r="BG7" i="156"/>
  <c r="BC7" i="156"/>
  <c r="AY7" i="156"/>
  <c r="AU7" i="156"/>
  <c r="AQ7" i="156"/>
  <c r="AM7" i="156"/>
  <c r="AI7" i="156"/>
  <c r="AE7" i="156"/>
  <c r="AA7" i="156"/>
  <c r="W7" i="156"/>
  <c r="S7" i="156"/>
  <c r="O7" i="156"/>
  <c r="J7" i="156"/>
  <c r="BN6" i="156"/>
  <c r="BO6" i="156" s="1"/>
  <c r="BM6" i="156"/>
  <c r="BL6" i="156"/>
  <c r="BJ6" i="156"/>
  <c r="BK6" i="156" s="1"/>
  <c r="BI6" i="156"/>
  <c r="BH6" i="156"/>
  <c r="AP6" i="156"/>
  <c r="AQ6" i="156" s="1"/>
  <c r="AO6" i="156"/>
  <c r="AN6" i="156"/>
  <c r="AL6" i="156"/>
  <c r="AM6" i="156" s="1"/>
  <c r="AK6" i="156"/>
  <c r="AJ6" i="156"/>
  <c r="R6" i="156"/>
  <c r="S6" i="156" s="1"/>
  <c r="Q6" i="156"/>
  <c r="P6" i="156"/>
  <c r="N6" i="156"/>
  <c r="O6" i="156" s="1"/>
  <c r="M6" i="156"/>
  <c r="L6" i="156"/>
  <c r="BL5" i="156"/>
  <c r="BO5" i="156" s="1"/>
  <c r="BH5" i="156"/>
  <c r="BK5" i="156" s="1"/>
  <c r="BD5" i="156"/>
  <c r="BG5" i="156" s="1"/>
  <c r="AN5" i="156"/>
  <c r="AQ5" i="156" s="1"/>
  <c r="AJ5" i="156"/>
  <c r="AM5" i="156" s="1"/>
  <c r="AF5" i="156"/>
  <c r="AI5" i="156" s="1"/>
  <c r="P5" i="156"/>
  <c r="S5" i="156" s="1"/>
  <c r="L5" i="156"/>
  <c r="O5" i="156" s="1"/>
  <c r="BS4" i="156"/>
  <c r="BT5" i="156" s="1"/>
  <c r="BW5" i="156" s="1"/>
  <c r="BO4" i="156"/>
  <c r="BR6" i="156" s="1"/>
  <c r="BS6" i="156" s="1"/>
  <c r="BL4" i="156"/>
  <c r="BK4" i="156"/>
  <c r="BH4" i="156"/>
  <c r="BG4" i="156"/>
  <c r="BC4" i="156"/>
  <c r="BF6" i="156" s="1"/>
  <c r="BG6" i="156" s="1"/>
  <c r="AY4" i="156"/>
  <c r="BB6" i="156" s="1"/>
  <c r="BC6" i="156" s="1"/>
  <c r="AU4" i="156"/>
  <c r="AV5" i="156" s="1"/>
  <c r="AY5" i="156" s="1"/>
  <c r="AQ4" i="156"/>
  <c r="AT6" i="156" s="1"/>
  <c r="AU6" i="156" s="1"/>
  <c r="AN4" i="156"/>
  <c r="AM4" i="156"/>
  <c r="AJ4" i="156"/>
  <c r="AI4" i="156"/>
  <c r="AE4" i="156"/>
  <c r="AH6" i="156" s="1"/>
  <c r="AI6" i="156" s="1"/>
  <c r="AA4" i="156"/>
  <c r="AC6" i="156" s="1"/>
  <c r="W4" i="156"/>
  <c r="X5" i="156" s="1"/>
  <c r="AA5" i="156" s="1"/>
  <c r="S4" i="156"/>
  <c r="V6" i="156" s="1"/>
  <c r="W6" i="156" s="1"/>
  <c r="P4" i="156"/>
  <c r="O4" i="156"/>
  <c r="L4" i="156"/>
  <c r="K4" i="156"/>
  <c r="J4" i="156"/>
  <c r="BT3" i="156"/>
  <c r="BP3" i="156"/>
  <c r="BL3" i="156"/>
  <c r="BH3" i="156"/>
  <c r="BD3" i="156"/>
  <c r="AZ3" i="156"/>
  <c r="AV3" i="156"/>
  <c r="AR3" i="156"/>
  <c r="AN3" i="156"/>
  <c r="AJ3" i="156"/>
  <c r="AF3" i="156"/>
  <c r="AB3" i="156"/>
  <c r="X3" i="156"/>
  <c r="T3" i="156"/>
  <c r="P3" i="156"/>
  <c r="L3" i="156"/>
  <c r="J3" i="156"/>
  <c r="J2" i="156"/>
  <c r="F1" i="156"/>
  <c r="BW82" i="155"/>
  <c r="BS82" i="155"/>
  <c r="BO82" i="155"/>
  <c r="BK82" i="155"/>
  <c r="BG82" i="155"/>
  <c r="BC82" i="155"/>
  <c r="AY82" i="155"/>
  <c r="AU82" i="155"/>
  <c r="AQ82" i="155"/>
  <c r="AM82" i="155"/>
  <c r="AI82" i="155"/>
  <c r="AE82" i="155"/>
  <c r="AA82" i="155"/>
  <c r="W82" i="155"/>
  <c r="S82" i="155"/>
  <c r="O82" i="155"/>
  <c r="J82" i="155"/>
  <c r="BW81" i="155"/>
  <c r="BS81" i="155"/>
  <c r="BO81" i="155"/>
  <c r="BK81" i="155"/>
  <c r="BG81" i="155"/>
  <c r="BC81" i="155"/>
  <c r="AY81" i="155"/>
  <c r="AU81" i="155"/>
  <c r="AQ81" i="155"/>
  <c r="AM81" i="155"/>
  <c r="AI81" i="155"/>
  <c r="AE81" i="155"/>
  <c r="AA81" i="155"/>
  <c r="W81" i="155"/>
  <c r="S81" i="155"/>
  <c r="O81" i="155"/>
  <c r="J81" i="155"/>
  <c r="BW80" i="155"/>
  <c r="BS80" i="155"/>
  <c r="BO80" i="155"/>
  <c r="BK80" i="155"/>
  <c r="BG80" i="155"/>
  <c r="BC80" i="155"/>
  <c r="AY80" i="155"/>
  <c r="AU80" i="155"/>
  <c r="AQ80" i="155"/>
  <c r="AM80" i="155"/>
  <c r="AI80" i="155"/>
  <c r="AE80" i="155"/>
  <c r="AA80" i="155"/>
  <c r="W80" i="155"/>
  <c r="S80" i="155"/>
  <c r="O80" i="155"/>
  <c r="J80" i="155"/>
  <c r="BW79" i="155"/>
  <c r="BS79" i="155"/>
  <c r="BO79" i="155"/>
  <c r="BK79" i="155"/>
  <c r="BG79" i="155"/>
  <c r="BC79" i="155"/>
  <c r="AY79" i="155"/>
  <c r="AU79" i="155"/>
  <c r="AQ79" i="155"/>
  <c r="AM79" i="155"/>
  <c r="AI79" i="155"/>
  <c r="AE79" i="155"/>
  <c r="AA79" i="155"/>
  <c r="W79" i="155"/>
  <c r="S79" i="155"/>
  <c r="O79" i="155"/>
  <c r="J79" i="155"/>
  <c r="BW78" i="155"/>
  <c r="BS78" i="155"/>
  <c r="BO78" i="155"/>
  <c r="BK78" i="155"/>
  <c r="BG78" i="155"/>
  <c r="BC78" i="155"/>
  <c r="AY78" i="155"/>
  <c r="AU78" i="155"/>
  <c r="AQ78" i="155"/>
  <c r="AM78" i="155"/>
  <c r="AI78" i="155"/>
  <c r="AE78" i="155"/>
  <c r="AA78" i="155"/>
  <c r="W78" i="155"/>
  <c r="S78" i="155"/>
  <c r="O78" i="155"/>
  <c r="J78" i="155"/>
  <c r="BW77" i="155"/>
  <c r="BS77" i="155"/>
  <c r="BO77" i="155"/>
  <c r="BK77" i="155"/>
  <c r="BG77" i="155"/>
  <c r="BC77" i="155"/>
  <c r="AY77" i="155"/>
  <c r="AU77" i="155"/>
  <c r="AQ77" i="155"/>
  <c r="AM77" i="155"/>
  <c r="AI77" i="155"/>
  <c r="AE77" i="155"/>
  <c r="AA77" i="155"/>
  <c r="W77" i="155"/>
  <c r="S77" i="155"/>
  <c r="O77" i="155"/>
  <c r="J77" i="155"/>
  <c r="BW76" i="155"/>
  <c r="BS76" i="155"/>
  <c r="BO76" i="155"/>
  <c r="BK76" i="155"/>
  <c r="BG76" i="155"/>
  <c r="BC76" i="155"/>
  <c r="AY76" i="155"/>
  <c r="AU76" i="155"/>
  <c r="AQ76" i="155"/>
  <c r="AM76" i="155"/>
  <c r="AI76" i="155"/>
  <c r="AE76" i="155"/>
  <c r="AA76" i="155"/>
  <c r="W76" i="155"/>
  <c r="S76" i="155"/>
  <c r="O76" i="155"/>
  <c r="J76" i="155"/>
  <c r="BW75" i="155"/>
  <c r="BS75" i="155"/>
  <c r="BO75" i="155"/>
  <c r="BK75" i="155"/>
  <c r="BG75" i="155"/>
  <c r="BC75" i="155"/>
  <c r="AY75" i="155"/>
  <c r="AU75" i="155"/>
  <c r="AQ75" i="155"/>
  <c r="AM75" i="155"/>
  <c r="AI75" i="155"/>
  <c r="AE75" i="155"/>
  <c r="AA75" i="155"/>
  <c r="W75" i="155"/>
  <c r="S75" i="155"/>
  <c r="O75" i="155"/>
  <c r="J75" i="155"/>
  <c r="BW74" i="155"/>
  <c r="BS74" i="155"/>
  <c r="BO74" i="155"/>
  <c r="BK74" i="155"/>
  <c r="BG74" i="155"/>
  <c r="BC74" i="155"/>
  <c r="AY74" i="155"/>
  <c r="AU74" i="155"/>
  <c r="AQ74" i="155"/>
  <c r="AM74" i="155"/>
  <c r="AI74" i="155"/>
  <c r="AE74" i="155"/>
  <c r="AA74" i="155"/>
  <c r="W74" i="155"/>
  <c r="S74" i="155"/>
  <c r="O74" i="155"/>
  <c r="J74" i="155"/>
  <c r="BW73" i="155"/>
  <c r="BS73" i="155"/>
  <c r="BO73" i="155"/>
  <c r="BK73" i="155"/>
  <c r="BG73" i="155"/>
  <c r="BC73" i="155"/>
  <c r="AY73" i="155"/>
  <c r="AU73" i="155"/>
  <c r="AQ73" i="155"/>
  <c r="AM73" i="155"/>
  <c r="AI73" i="155"/>
  <c r="AE73" i="155"/>
  <c r="AA73" i="155"/>
  <c r="W73" i="155"/>
  <c r="S73" i="155"/>
  <c r="O73" i="155"/>
  <c r="J73" i="155"/>
  <c r="BW72" i="155"/>
  <c r="BS72" i="155"/>
  <c r="BO72" i="155"/>
  <c r="BK72" i="155"/>
  <c r="BG72" i="155"/>
  <c r="BC72" i="155"/>
  <c r="AY72" i="155"/>
  <c r="AU72" i="155"/>
  <c r="AQ72" i="155"/>
  <c r="AM72" i="155"/>
  <c r="AI72" i="155"/>
  <c r="AE72" i="155"/>
  <c r="AA72" i="155"/>
  <c r="W72" i="155"/>
  <c r="S72" i="155"/>
  <c r="O72" i="155"/>
  <c r="J72" i="155"/>
  <c r="BW71" i="155"/>
  <c r="BS71" i="155"/>
  <c r="BO71" i="155"/>
  <c r="BK71" i="155"/>
  <c r="BG71" i="155"/>
  <c r="BC71" i="155"/>
  <c r="AY71" i="155"/>
  <c r="AU71" i="155"/>
  <c r="AQ71" i="155"/>
  <c r="AM71" i="155"/>
  <c r="AI71" i="155"/>
  <c r="AE71" i="155"/>
  <c r="AA71" i="155"/>
  <c r="W71" i="155"/>
  <c r="S71" i="155"/>
  <c r="O71" i="155"/>
  <c r="J71" i="155"/>
  <c r="BW70" i="155"/>
  <c r="BS70" i="155"/>
  <c r="BO70" i="155"/>
  <c r="BK70" i="155"/>
  <c r="BG70" i="155"/>
  <c r="BC70" i="155"/>
  <c r="AY70" i="155"/>
  <c r="AU70" i="155"/>
  <c r="AQ70" i="155"/>
  <c r="AM70" i="155"/>
  <c r="AI70" i="155"/>
  <c r="AE70" i="155"/>
  <c r="AA70" i="155"/>
  <c r="W70" i="155"/>
  <c r="S70" i="155"/>
  <c r="O70" i="155"/>
  <c r="J70" i="155"/>
  <c r="BW69" i="155"/>
  <c r="BS69" i="155"/>
  <c r="BO69" i="155"/>
  <c r="BK69" i="155"/>
  <c r="BG69" i="155"/>
  <c r="BC69" i="155"/>
  <c r="AY69" i="155"/>
  <c r="AU69" i="155"/>
  <c r="AQ69" i="155"/>
  <c r="AM69" i="155"/>
  <c r="AI69" i="155"/>
  <c r="AE69" i="155"/>
  <c r="AA69" i="155"/>
  <c r="W69" i="155"/>
  <c r="S69" i="155"/>
  <c r="O69" i="155"/>
  <c r="J69" i="155"/>
  <c r="BW68" i="155"/>
  <c r="BS68" i="155"/>
  <c r="BO68" i="155"/>
  <c r="BK68" i="155"/>
  <c r="BG68" i="155"/>
  <c r="BC68" i="155"/>
  <c r="AY68" i="155"/>
  <c r="AU68" i="155"/>
  <c r="AQ68" i="155"/>
  <c r="AM68" i="155"/>
  <c r="AI68" i="155"/>
  <c r="AE68" i="155"/>
  <c r="AA68" i="155"/>
  <c r="W68" i="155"/>
  <c r="S68" i="155"/>
  <c r="O68" i="155"/>
  <c r="J68" i="155"/>
  <c r="BW67" i="155"/>
  <c r="BS67" i="155"/>
  <c r="BO67" i="155"/>
  <c r="BK67" i="155"/>
  <c r="BG67" i="155"/>
  <c r="BC67" i="155"/>
  <c r="AY67" i="155"/>
  <c r="AU67" i="155"/>
  <c r="AQ67" i="155"/>
  <c r="AM67" i="155"/>
  <c r="AI67" i="155"/>
  <c r="AE67" i="155"/>
  <c r="AA67" i="155"/>
  <c r="W67" i="155"/>
  <c r="S67" i="155"/>
  <c r="O67" i="155"/>
  <c r="J67" i="155"/>
  <c r="BW66" i="155"/>
  <c r="BS66" i="155"/>
  <c r="BO66" i="155"/>
  <c r="BK66" i="155"/>
  <c r="BG66" i="155"/>
  <c r="BC66" i="155"/>
  <c r="AY66" i="155"/>
  <c r="AU66" i="155"/>
  <c r="AQ66" i="155"/>
  <c r="AM66" i="155"/>
  <c r="AI66" i="155"/>
  <c r="AE66" i="155"/>
  <c r="AA66" i="155"/>
  <c r="W66" i="155"/>
  <c r="S66" i="155"/>
  <c r="O66" i="155"/>
  <c r="J66" i="155"/>
  <c r="BW65" i="155"/>
  <c r="BS65" i="155"/>
  <c r="BO65" i="155"/>
  <c r="BK65" i="155"/>
  <c r="BG65" i="155"/>
  <c r="BC65" i="155"/>
  <c r="AY65" i="155"/>
  <c r="AU65" i="155"/>
  <c r="AQ65" i="155"/>
  <c r="AM65" i="155"/>
  <c r="AI65" i="155"/>
  <c r="AE65" i="155"/>
  <c r="AA65" i="155"/>
  <c r="W65" i="155"/>
  <c r="S65" i="155"/>
  <c r="O65" i="155"/>
  <c r="J65" i="155"/>
  <c r="BW64" i="155"/>
  <c r="BS64" i="155"/>
  <c r="BO64" i="155"/>
  <c r="BK64" i="155"/>
  <c r="BG64" i="155"/>
  <c r="BC64" i="155"/>
  <c r="AY64" i="155"/>
  <c r="AU64" i="155"/>
  <c r="AQ64" i="155"/>
  <c r="AM64" i="155"/>
  <c r="AI64" i="155"/>
  <c r="AE64" i="155"/>
  <c r="AA64" i="155"/>
  <c r="W64" i="155"/>
  <c r="S64" i="155"/>
  <c r="O64" i="155"/>
  <c r="J64" i="155"/>
  <c r="BW63" i="155"/>
  <c r="BS63" i="155"/>
  <c r="BO63" i="155"/>
  <c r="BK63" i="155"/>
  <c r="BG63" i="155"/>
  <c r="BC63" i="155"/>
  <c r="AY63" i="155"/>
  <c r="AU63" i="155"/>
  <c r="AQ63" i="155"/>
  <c r="AM63" i="155"/>
  <c r="AI63" i="155"/>
  <c r="AE63" i="155"/>
  <c r="AA63" i="155"/>
  <c r="W63" i="155"/>
  <c r="S63" i="155"/>
  <c r="O63" i="155"/>
  <c r="J63" i="155"/>
  <c r="BW62" i="155"/>
  <c r="BS62" i="155"/>
  <c r="BO62" i="155"/>
  <c r="BK62" i="155"/>
  <c r="BG62" i="155"/>
  <c r="BC62" i="155"/>
  <c r="AY62" i="155"/>
  <c r="AU62" i="155"/>
  <c r="AQ62" i="155"/>
  <c r="AM62" i="155"/>
  <c r="AI62" i="155"/>
  <c r="AE62" i="155"/>
  <c r="AA62" i="155"/>
  <c r="W62" i="155"/>
  <c r="S62" i="155"/>
  <c r="O62" i="155"/>
  <c r="J62" i="155"/>
  <c r="BW61" i="155"/>
  <c r="BS61" i="155"/>
  <c r="BO61" i="155"/>
  <c r="BK61" i="155"/>
  <c r="BG61" i="155"/>
  <c r="BC61" i="155"/>
  <c r="AY61" i="155"/>
  <c r="AU61" i="155"/>
  <c r="AQ61" i="155"/>
  <c r="AM61" i="155"/>
  <c r="AI61" i="155"/>
  <c r="AE61" i="155"/>
  <c r="AA61" i="155"/>
  <c r="W61" i="155"/>
  <c r="S61" i="155"/>
  <c r="O61" i="155"/>
  <c r="J61" i="155"/>
  <c r="BW60" i="155"/>
  <c r="BS60" i="155"/>
  <c r="BO60" i="155"/>
  <c r="BK60" i="155"/>
  <c r="BG60" i="155"/>
  <c r="BC60" i="155"/>
  <c r="AY60" i="155"/>
  <c r="AU60" i="155"/>
  <c r="AQ60" i="155"/>
  <c r="AM60" i="155"/>
  <c r="AI60" i="155"/>
  <c r="AE60" i="155"/>
  <c r="AA60" i="155"/>
  <c r="W60" i="155"/>
  <c r="S60" i="155"/>
  <c r="O60" i="155"/>
  <c r="J60" i="155"/>
  <c r="BW59" i="155"/>
  <c r="BS59" i="155"/>
  <c r="BO59" i="155"/>
  <c r="BK59" i="155"/>
  <c r="BG59" i="155"/>
  <c r="BC59" i="155"/>
  <c r="AY59" i="155"/>
  <c r="AU59" i="155"/>
  <c r="AQ59" i="155"/>
  <c r="AM59" i="155"/>
  <c r="AI59" i="155"/>
  <c r="AE59" i="155"/>
  <c r="AA59" i="155"/>
  <c r="W59" i="155"/>
  <c r="S59" i="155"/>
  <c r="O59" i="155"/>
  <c r="J59" i="155"/>
  <c r="BW58" i="155"/>
  <c r="BS58" i="155"/>
  <c r="BO58" i="155"/>
  <c r="BK58" i="155"/>
  <c r="BG58" i="155"/>
  <c r="BC58" i="155"/>
  <c r="AY58" i="155"/>
  <c r="AU58" i="155"/>
  <c r="AQ58" i="155"/>
  <c r="AM58" i="155"/>
  <c r="AI58" i="155"/>
  <c r="AE58" i="155"/>
  <c r="AA58" i="155"/>
  <c r="W58" i="155"/>
  <c r="S58" i="155"/>
  <c r="O58" i="155"/>
  <c r="J58" i="155"/>
  <c r="BW57" i="155"/>
  <c r="BS57" i="155"/>
  <c r="BO57" i="155"/>
  <c r="BK57" i="155"/>
  <c r="BG57" i="155"/>
  <c r="BC57" i="155"/>
  <c r="AY57" i="155"/>
  <c r="AU57" i="155"/>
  <c r="AQ57" i="155"/>
  <c r="AM57" i="155"/>
  <c r="AI57" i="155"/>
  <c r="AE57" i="155"/>
  <c r="AA57" i="155"/>
  <c r="W57" i="155"/>
  <c r="S57" i="155"/>
  <c r="O57" i="155"/>
  <c r="J57" i="155"/>
  <c r="BW56" i="155"/>
  <c r="BS56" i="155"/>
  <c r="BO56" i="155"/>
  <c r="BK56" i="155"/>
  <c r="BG56" i="155"/>
  <c r="BC56" i="155"/>
  <c r="AY56" i="155"/>
  <c r="AU56" i="155"/>
  <c r="AQ56" i="155"/>
  <c r="AM56" i="155"/>
  <c r="AI56" i="155"/>
  <c r="AE56" i="155"/>
  <c r="AA56" i="155"/>
  <c r="W56" i="155"/>
  <c r="S56" i="155"/>
  <c r="O56" i="155"/>
  <c r="J56" i="155"/>
  <c r="BW55" i="155"/>
  <c r="BS55" i="155"/>
  <c r="BO55" i="155"/>
  <c r="BK55" i="155"/>
  <c r="BG55" i="155"/>
  <c r="BC55" i="155"/>
  <c r="AY55" i="155"/>
  <c r="AU55" i="155"/>
  <c r="AQ55" i="155"/>
  <c r="AM55" i="155"/>
  <c r="AI55" i="155"/>
  <c r="AE55" i="155"/>
  <c r="AA55" i="155"/>
  <c r="W55" i="155"/>
  <c r="S55" i="155"/>
  <c r="O55" i="155"/>
  <c r="J55" i="155"/>
  <c r="BW54" i="155"/>
  <c r="BS54" i="155"/>
  <c r="BO54" i="155"/>
  <c r="BK54" i="155"/>
  <c r="BG54" i="155"/>
  <c r="BC54" i="155"/>
  <c r="AY54" i="155"/>
  <c r="AU54" i="155"/>
  <c r="AQ54" i="155"/>
  <c r="AM54" i="155"/>
  <c r="AI54" i="155"/>
  <c r="AE54" i="155"/>
  <c r="AA54" i="155"/>
  <c r="W54" i="155"/>
  <c r="S54" i="155"/>
  <c r="O54" i="155"/>
  <c r="J54" i="155"/>
  <c r="BW53" i="155"/>
  <c r="BS53" i="155"/>
  <c r="BO53" i="155"/>
  <c r="BK53" i="155"/>
  <c r="BG53" i="155"/>
  <c r="BC53" i="155"/>
  <c r="AY53" i="155"/>
  <c r="AU53" i="155"/>
  <c r="AQ53" i="155"/>
  <c r="AM53" i="155"/>
  <c r="AI53" i="155"/>
  <c r="AE53" i="155"/>
  <c r="AA53" i="155"/>
  <c r="W53" i="155"/>
  <c r="S53" i="155"/>
  <c r="O53" i="155"/>
  <c r="J53" i="155"/>
  <c r="BW52" i="155"/>
  <c r="BS52" i="155"/>
  <c r="BO52" i="155"/>
  <c r="BK52" i="155"/>
  <c r="BG52" i="155"/>
  <c r="BC52" i="155"/>
  <c r="AY52" i="155"/>
  <c r="AU52" i="155"/>
  <c r="AQ52" i="155"/>
  <c r="AM52" i="155"/>
  <c r="AI52" i="155"/>
  <c r="AE52" i="155"/>
  <c r="AA52" i="155"/>
  <c r="W52" i="155"/>
  <c r="S52" i="155"/>
  <c r="O52" i="155"/>
  <c r="J52" i="155"/>
  <c r="BW51" i="155"/>
  <c r="BS51" i="155"/>
  <c r="BO51" i="155"/>
  <c r="BK51" i="155"/>
  <c r="BG51" i="155"/>
  <c r="BC51" i="155"/>
  <c r="AY51" i="155"/>
  <c r="AU51" i="155"/>
  <c r="AQ51" i="155"/>
  <c r="AM51" i="155"/>
  <c r="AI51" i="155"/>
  <c r="AE51" i="155"/>
  <c r="AA51" i="155"/>
  <c r="W51" i="155"/>
  <c r="S51" i="155"/>
  <c r="O51" i="155"/>
  <c r="J51" i="155"/>
  <c r="BW50" i="155"/>
  <c r="BS50" i="155"/>
  <c r="BO50" i="155"/>
  <c r="BK50" i="155"/>
  <c r="BG50" i="155"/>
  <c r="BC50" i="155"/>
  <c r="AY50" i="155"/>
  <c r="AU50" i="155"/>
  <c r="AQ50" i="155"/>
  <c r="AM50" i="155"/>
  <c r="AI50" i="155"/>
  <c r="AE50" i="155"/>
  <c r="AA50" i="155"/>
  <c r="W50" i="155"/>
  <c r="S50" i="155"/>
  <c r="O50" i="155"/>
  <c r="J50" i="155"/>
  <c r="BW49" i="155"/>
  <c r="BS49" i="155"/>
  <c r="BO49" i="155"/>
  <c r="BK49" i="155"/>
  <c r="BG49" i="155"/>
  <c r="BC49" i="155"/>
  <c r="AY49" i="155"/>
  <c r="AU49" i="155"/>
  <c r="AQ49" i="155"/>
  <c r="AM49" i="155"/>
  <c r="AI49" i="155"/>
  <c r="AE49" i="155"/>
  <c r="AA49" i="155"/>
  <c r="W49" i="155"/>
  <c r="S49" i="155"/>
  <c r="O49" i="155"/>
  <c r="J49" i="155"/>
  <c r="BW48" i="155"/>
  <c r="BS48" i="155"/>
  <c r="BO48" i="155"/>
  <c r="BK48" i="155"/>
  <c r="BG48" i="155"/>
  <c r="BC48" i="155"/>
  <c r="AY48" i="155"/>
  <c r="AU48" i="155"/>
  <c r="AQ48" i="155"/>
  <c r="AM48" i="155"/>
  <c r="AI48" i="155"/>
  <c r="AE48" i="155"/>
  <c r="AA48" i="155"/>
  <c r="W48" i="155"/>
  <c r="S48" i="155"/>
  <c r="O48" i="155"/>
  <c r="J48" i="155"/>
  <c r="BW47" i="155"/>
  <c r="BS47" i="155"/>
  <c r="BO47" i="155"/>
  <c r="BK47" i="155"/>
  <c r="BG47" i="155"/>
  <c r="BC47" i="155"/>
  <c r="AY47" i="155"/>
  <c r="AU47" i="155"/>
  <c r="AQ47" i="155"/>
  <c r="AM47" i="155"/>
  <c r="AI47" i="155"/>
  <c r="AE47" i="155"/>
  <c r="AA47" i="155"/>
  <c r="W47" i="155"/>
  <c r="S47" i="155"/>
  <c r="O47" i="155"/>
  <c r="J47" i="155"/>
  <c r="BW46" i="155"/>
  <c r="BS46" i="155"/>
  <c r="BO46" i="155"/>
  <c r="BK46" i="155"/>
  <c r="BG46" i="155"/>
  <c r="BC46" i="155"/>
  <c r="AY46" i="155"/>
  <c r="AU46" i="155"/>
  <c r="AQ46" i="155"/>
  <c r="AM46" i="155"/>
  <c r="AI46" i="155"/>
  <c r="AE46" i="155"/>
  <c r="AA46" i="155"/>
  <c r="W46" i="155"/>
  <c r="S46" i="155"/>
  <c r="O46" i="155"/>
  <c r="J46" i="155"/>
  <c r="BW45" i="155"/>
  <c r="BS45" i="155"/>
  <c r="BO45" i="155"/>
  <c r="BK45" i="155"/>
  <c r="BG45" i="155"/>
  <c r="BC45" i="155"/>
  <c r="AY45" i="155"/>
  <c r="AU45" i="155"/>
  <c r="AQ45" i="155"/>
  <c r="AM45" i="155"/>
  <c r="AI45" i="155"/>
  <c r="AE45" i="155"/>
  <c r="AA45" i="155"/>
  <c r="W45" i="155"/>
  <c r="S45" i="155"/>
  <c r="O45" i="155"/>
  <c r="J45" i="155"/>
  <c r="BW44" i="155"/>
  <c r="BS44" i="155"/>
  <c r="BO44" i="155"/>
  <c r="BK44" i="155"/>
  <c r="BG44" i="155"/>
  <c r="BC44" i="155"/>
  <c r="AY44" i="155"/>
  <c r="AU44" i="155"/>
  <c r="AQ44" i="155"/>
  <c r="AM44" i="155"/>
  <c r="AI44" i="155"/>
  <c r="AE44" i="155"/>
  <c r="AA44" i="155"/>
  <c r="W44" i="155"/>
  <c r="S44" i="155"/>
  <c r="O44" i="155"/>
  <c r="J44" i="155"/>
  <c r="BW43" i="155"/>
  <c r="BS43" i="155"/>
  <c r="BO43" i="155"/>
  <c r="BK43" i="155"/>
  <c r="BG43" i="155"/>
  <c r="BC43" i="155"/>
  <c r="AY43" i="155"/>
  <c r="AU43" i="155"/>
  <c r="AQ43" i="155"/>
  <c r="AM43" i="155"/>
  <c r="AI43" i="155"/>
  <c r="AE43" i="155"/>
  <c r="AA43" i="155"/>
  <c r="W43" i="155"/>
  <c r="S43" i="155"/>
  <c r="O43" i="155"/>
  <c r="J43" i="155"/>
  <c r="BW42" i="155"/>
  <c r="BS42" i="155"/>
  <c r="BO42" i="155"/>
  <c r="BK42" i="155"/>
  <c r="BG42" i="155"/>
  <c r="BC42" i="155"/>
  <c r="AY42" i="155"/>
  <c r="AU42" i="155"/>
  <c r="AQ42" i="155"/>
  <c r="AM42" i="155"/>
  <c r="AI42" i="155"/>
  <c r="AE42" i="155"/>
  <c r="AA42" i="155"/>
  <c r="W42" i="155"/>
  <c r="S42" i="155"/>
  <c r="O42" i="155"/>
  <c r="J42" i="155"/>
  <c r="BW41" i="155"/>
  <c r="BS41" i="155"/>
  <c r="BO41" i="155"/>
  <c r="BK41" i="155"/>
  <c r="BG41" i="155"/>
  <c r="BC41" i="155"/>
  <c r="AY41" i="155"/>
  <c r="AU41" i="155"/>
  <c r="AQ41" i="155"/>
  <c r="AM41" i="155"/>
  <c r="AI41" i="155"/>
  <c r="AE41" i="155"/>
  <c r="AA41" i="155"/>
  <c r="W41" i="155"/>
  <c r="S41" i="155"/>
  <c r="O41" i="155"/>
  <c r="J41" i="155"/>
  <c r="BW40" i="155"/>
  <c r="BS40" i="155"/>
  <c r="BO40" i="155"/>
  <c r="BK40" i="155"/>
  <c r="BG40" i="155"/>
  <c r="BC40" i="155"/>
  <c r="AY40" i="155"/>
  <c r="AU40" i="155"/>
  <c r="AQ40" i="155"/>
  <c r="AM40" i="155"/>
  <c r="AI40" i="155"/>
  <c r="AE40" i="155"/>
  <c r="AA40" i="155"/>
  <c r="W40" i="155"/>
  <c r="S40" i="155"/>
  <c r="O40" i="155"/>
  <c r="J40" i="155"/>
  <c r="BW39" i="155"/>
  <c r="BS39" i="155"/>
  <c r="BO39" i="155"/>
  <c r="BK39" i="155"/>
  <c r="BG39" i="155"/>
  <c r="BC39" i="155"/>
  <c r="AY39" i="155"/>
  <c r="AU39" i="155"/>
  <c r="AQ39" i="155"/>
  <c r="AM39" i="155"/>
  <c r="AI39" i="155"/>
  <c r="AE39" i="155"/>
  <c r="AA39" i="155"/>
  <c r="W39" i="155"/>
  <c r="S39" i="155"/>
  <c r="O39" i="155"/>
  <c r="J39" i="155"/>
  <c r="BW38" i="155"/>
  <c r="BS38" i="155"/>
  <c r="BO38" i="155"/>
  <c r="BK38" i="155"/>
  <c r="BG38" i="155"/>
  <c r="BC38" i="155"/>
  <c r="AY38" i="155"/>
  <c r="AU38" i="155"/>
  <c r="AQ38" i="155"/>
  <c r="AM38" i="155"/>
  <c r="AI38" i="155"/>
  <c r="AE38" i="155"/>
  <c r="AA38" i="155"/>
  <c r="W38" i="155"/>
  <c r="S38" i="155"/>
  <c r="O38" i="155"/>
  <c r="J38" i="155"/>
  <c r="BW37" i="155"/>
  <c r="BS37" i="155"/>
  <c r="BO37" i="155"/>
  <c r="BK37" i="155"/>
  <c r="BG37" i="155"/>
  <c r="BC37" i="155"/>
  <c r="AY37" i="155"/>
  <c r="AU37" i="155"/>
  <c r="AQ37" i="155"/>
  <c r="AM37" i="155"/>
  <c r="AI37" i="155"/>
  <c r="AE37" i="155"/>
  <c r="AA37" i="155"/>
  <c r="W37" i="155"/>
  <c r="S37" i="155"/>
  <c r="O37" i="155"/>
  <c r="J37" i="155"/>
  <c r="BW36" i="155"/>
  <c r="BS36" i="155"/>
  <c r="BO36" i="155"/>
  <c r="BK36" i="155"/>
  <c r="BG36" i="155"/>
  <c r="BC36" i="155"/>
  <c r="AY36" i="155"/>
  <c r="AU36" i="155"/>
  <c r="AQ36" i="155"/>
  <c r="AM36" i="155"/>
  <c r="AI36" i="155"/>
  <c r="AE36" i="155"/>
  <c r="AA36" i="155"/>
  <c r="W36" i="155"/>
  <c r="S36" i="155"/>
  <c r="O36" i="155"/>
  <c r="J36" i="155"/>
  <c r="BW35" i="155"/>
  <c r="BS35" i="155"/>
  <c r="BO35" i="155"/>
  <c r="BK35" i="155"/>
  <c r="BG35" i="155"/>
  <c r="BC35" i="155"/>
  <c r="AY35" i="155"/>
  <c r="AU35" i="155"/>
  <c r="AQ35" i="155"/>
  <c r="AM35" i="155"/>
  <c r="AI35" i="155"/>
  <c r="AE35" i="155"/>
  <c r="AA35" i="155"/>
  <c r="W35" i="155"/>
  <c r="S35" i="155"/>
  <c r="O35" i="155"/>
  <c r="J35" i="155"/>
  <c r="BW34" i="155"/>
  <c r="BS34" i="155"/>
  <c r="BO34" i="155"/>
  <c r="BK34" i="155"/>
  <c r="BG34" i="155"/>
  <c r="BC34" i="155"/>
  <c r="AY34" i="155"/>
  <c r="AU34" i="155"/>
  <c r="AQ34" i="155"/>
  <c r="AM34" i="155"/>
  <c r="AI34" i="155"/>
  <c r="AE34" i="155"/>
  <c r="AA34" i="155"/>
  <c r="W34" i="155"/>
  <c r="S34" i="155"/>
  <c r="O34" i="155"/>
  <c r="J34" i="155"/>
  <c r="BW33" i="155"/>
  <c r="BS33" i="155"/>
  <c r="BO33" i="155"/>
  <c r="BK33" i="155"/>
  <c r="BG33" i="155"/>
  <c r="BC33" i="155"/>
  <c r="AY33" i="155"/>
  <c r="AU33" i="155"/>
  <c r="AQ33" i="155"/>
  <c r="AM33" i="155"/>
  <c r="AI33" i="155"/>
  <c r="AE33" i="155"/>
  <c r="AA33" i="155"/>
  <c r="W33" i="155"/>
  <c r="S33" i="155"/>
  <c r="O33" i="155"/>
  <c r="J33" i="155"/>
  <c r="BW32" i="155"/>
  <c r="BS32" i="155"/>
  <c r="BO32" i="155"/>
  <c r="BK32" i="155"/>
  <c r="BG32" i="155"/>
  <c r="BC32" i="155"/>
  <c r="AY32" i="155"/>
  <c r="AU32" i="155"/>
  <c r="AQ32" i="155"/>
  <c r="AM32" i="155"/>
  <c r="AI32" i="155"/>
  <c r="AE32" i="155"/>
  <c r="AA32" i="155"/>
  <c r="W32" i="155"/>
  <c r="S32" i="155"/>
  <c r="O32" i="155"/>
  <c r="J32" i="155"/>
  <c r="BW31" i="155"/>
  <c r="BS31" i="155"/>
  <c r="BO31" i="155"/>
  <c r="BK31" i="155"/>
  <c r="BG31" i="155"/>
  <c r="BC31" i="155"/>
  <c r="AY31" i="155"/>
  <c r="AU31" i="155"/>
  <c r="AQ31" i="155"/>
  <c r="AM31" i="155"/>
  <c r="AI31" i="155"/>
  <c r="AE31" i="155"/>
  <c r="AA31" i="155"/>
  <c r="W31" i="155"/>
  <c r="S31" i="155"/>
  <c r="O31" i="155"/>
  <c r="J31" i="155"/>
  <c r="BW30" i="155"/>
  <c r="BS30" i="155"/>
  <c r="BO30" i="155"/>
  <c r="BK30" i="155"/>
  <c r="BG30" i="155"/>
  <c r="BC30" i="155"/>
  <c r="AY30" i="155"/>
  <c r="AU30" i="155"/>
  <c r="AQ30" i="155"/>
  <c r="AM30" i="155"/>
  <c r="AI30" i="155"/>
  <c r="AE30" i="155"/>
  <c r="AA30" i="155"/>
  <c r="W30" i="155"/>
  <c r="S30" i="155"/>
  <c r="O30" i="155"/>
  <c r="J30" i="155"/>
  <c r="BW29" i="155"/>
  <c r="BS29" i="155"/>
  <c r="BO29" i="155"/>
  <c r="BK29" i="155"/>
  <c r="BG29" i="155"/>
  <c r="BC29" i="155"/>
  <c r="AY29" i="155"/>
  <c r="AU29" i="155"/>
  <c r="AQ29" i="155"/>
  <c r="AM29" i="155"/>
  <c r="AI29" i="155"/>
  <c r="AE29" i="155"/>
  <c r="AA29" i="155"/>
  <c r="W29" i="155"/>
  <c r="S29" i="155"/>
  <c r="O29" i="155"/>
  <c r="J29" i="155"/>
  <c r="BW28" i="155"/>
  <c r="BS28" i="155"/>
  <c r="BO28" i="155"/>
  <c r="BK28" i="155"/>
  <c r="BG28" i="155"/>
  <c r="BC28" i="155"/>
  <c r="AY28" i="155"/>
  <c r="AU28" i="155"/>
  <c r="AQ28" i="155"/>
  <c r="AM28" i="155"/>
  <c r="AI28" i="155"/>
  <c r="AE28" i="155"/>
  <c r="AA28" i="155"/>
  <c r="W28" i="155"/>
  <c r="S28" i="155"/>
  <c r="O28" i="155"/>
  <c r="J28" i="155"/>
  <c r="BW27" i="155"/>
  <c r="BS27" i="155"/>
  <c r="BO27" i="155"/>
  <c r="BK27" i="155"/>
  <c r="BG27" i="155"/>
  <c r="BC27" i="155"/>
  <c r="AY27" i="155"/>
  <c r="AU27" i="155"/>
  <c r="AQ27" i="155"/>
  <c r="AM27" i="155"/>
  <c r="AI27" i="155"/>
  <c r="AE27" i="155"/>
  <c r="AA27" i="155"/>
  <c r="W27" i="155"/>
  <c r="S27" i="155"/>
  <c r="O27" i="155"/>
  <c r="J27" i="155"/>
  <c r="BW26" i="155"/>
  <c r="BS26" i="155"/>
  <c r="BO26" i="155"/>
  <c r="BK26" i="155"/>
  <c r="BG26" i="155"/>
  <c r="BC26" i="155"/>
  <c r="AY26" i="155"/>
  <c r="AU26" i="155"/>
  <c r="AQ26" i="155"/>
  <c r="AM26" i="155"/>
  <c r="AI26" i="155"/>
  <c r="AE26" i="155"/>
  <c r="AA26" i="155"/>
  <c r="W26" i="155"/>
  <c r="S26" i="155"/>
  <c r="O26" i="155"/>
  <c r="J26" i="155"/>
  <c r="BW25" i="155"/>
  <c r="BS25" i="155"/>
  <c r="BO25" i="155"/>
  <c r="BK25" i="155"/>
  <c r="BG25" i="155"/>
  <c r="BC25" i="155"/>
  <c r="AY25" i="155"/>
  <c r="AU25" i="155"/>
  <c r="AQ25" i="155"/>
  <c r="AM25" i="155"/>
  <c r="AI25" i="155"/>
  <c r="AE25" i="155"/>
  <c r="AA25" i="155"/>
  <c r="W25" i="155"/>
  <c r="S25" i="155"/>
  <c r="O25" i="155"/>
  <c r="J25" i="155"/>
  <c r="BW24" i="155"/>
  <c r="BS24" i="155"/>
  <c r="BO24" i="155"/>
  <c r="BK24" i="155"/>
  <c r="BG24" i="155"/>
  <c r="BC24" i="155"/>
  <c r="AY24" i="155"/>
  <c r="AU24" i="155"/>
  <c r="AQ24" i="155"/>
  <c r="AM24" i="155"/>
  <c r="AI24" i="155"/>
  <c r="AE24" i="155"/>
  <c r="AA24" i="155"/>
  <c r="W24" i="155"/>
  <c r="S24" i="155"/>
  <c r="O24" i="155"/>
  <c r="J24" i="155"/>
  <c r="BW23" i="155"/>
  <c r="BS23" i="155"/>
  <c r="BO23" i="155"/>
  <c r="BK23" i="155"/>
  <c r="BG23" i="155"/>
  <c r="BC23" i="155"/>
  <c r="AY23" i="155"/>
  <c r="AU23" i="155"/>
  <c r="AQ23" i="155"/>
  <c r="AM23" i="155"/>
  <c r="AI23" i="155"/>
  <c r="AE23" i="155"/>
  <c r="AA23" i="155"/>
  <c r="W23" i="155"/>
  <c r="S23" i="155"/>
  <c r="O23" i="155"/>
  <c r="J23" i="155"/>
  <c r="BW22" i="155"/>
  <c r="BS22" i="155"/>
  <c r="BO22" i="155"/>
  <c r="BK22" i="155"/>
  <c r="BG22" i="155"/>
  <c r="BC22" i="155"/>
  <c r="AY22" i="155"/>
  <c r="AU22" i="155"/>
  <c r="AQ22" i="155"/>
  <c r="AM22" i="155"/>
  <c r="AI22" i="155"/>
  <c r="AE22" i="155"/>
  <c r="AA22" i="155"/>
  <c r="W22" i="155"/>
  <c r="S22" i="155"/>
  <c r="O22" i="155"/>
  <c r="J22" i="155"/>
  <c r="BW21" i="155"/>
  <c r="BS21" i="155"/>
  <c r="BO21" i="155"/>
  <c r="BK21" i="155"/>
  <c r="BG21" i="155"/>
  <c r="BC21" i="155"/>
  <c r="AY21" i="155"/>
  <c r="AU21" i="155"/>
  <c r="AQ21" i="155"/>
  <c r="AM21" i="155"/>
  <c r="AI21" i="155"/>
  <c r="AE21" i="155"/>
  <c r="AA21" i="155"/>
  <c r="W21" i="155"/>
  <c r="S21" i="155"/>
  <c r="O21" i="155"/>
  <c r="J21" i="155"/>
  <c r="BW20" i="155"/>
  <c r="BS20" i="155"/>
  <c r="BO20" i="155"/>
  <c r="BK20" i="155"/>
  <c r="BG20" i="155"/>
  <c r="BC20" i="155"/>
  <c r="AY20" i="155"/>
  <c r="AU20" i="155"/>
  <c r="AQ20" i="155"/>
  <c r="AM20" i="155"/>
  <c r="AI20" i="155"/>
  <c r="AE20" i="155"/>
  <c r="AA20" i="155"/>
  <c r="W20" i="155"/>
  <c r="S20" i="155"/>
  <c r="O20" i="155"/>
  <c r="J20" i="155"/>
  <c r="BW19" i="155"/>
  <c r="BS19" i="155"/>
  <c r="BO19" i="155"/>
  <c r="BK19" i="155"/>
  <c r="BG19" i="155"/>
  <c r="BC19" i="155"/>
  <c r="AY19" i="155"/>
  <c r="AU19" i="155"/>
  <c r="AQ19" i="155"/>
  <c r="AM19" i="155"/>
  <c r="AI19" i="155"/>
  <c r="AE19" i="155"/>
  <c r="AA19" i="155"/>
  <c r="W19" i="155"/>
  <c r="S19" i="155"/>
  <c r="O19" i="155"/>
  <c r="J19" i="155"/>
  <c r="BW18" i="155"/>
  <c r="BS18" i="155"/>
  <c r="BO18" i="155"/>
  <c r="BK18" i="155"/>
  <c r="BG18" i="155"/>
  <c r="BC18" i="155"/>
  <c r="AY18" i="155"/>
  <c r="AU18" i="155"/>
  <c r="AQ18" i="155"/>
  <c r="AM18" i="155"/>
  <c r="AI18" i="155"/>
  <c r="AE18" i="155"/>
  <c r="AA18" i="155"/>
  <c r="W18" i="155"/>
  <c r="S18" i="155"/>
  <c r="O18" i="155"/>
  <c r="J18" i="155"/>
  <c r="BW17" i="155"/>
  <c r="BS17" i="155"/>
  <c r="BO17" i="155"/>
  <c r="BK17" i="155"/>
  <c r="BG17" i="155"/>
  <c r="BC17" i="155"/>
  <c r="AY17" i="155"/>
  <c r="AU17" i="155"/>
  <c r="AQ17" i="155"/>
  <c r="AM17" i="155"/>
  <c r="AI17" i="155"/>
  <c r="AE17" i="155"/>
  <c r="AA17" i="155"/>
  <c r="W17" i="155"/>
  <c r="S17" i="155"/>
  <c r="O17" i="155"/>
  <c r="J17" i="155"/>
  <c r="BW16" i="155"/>
  <c r="BS16" i="155"/>
  <c r="BO16" i="155"/>
  <c r="BK16" i="155"/>
  <c r="BG16" i="155"/>
  <c r="BC16" i="155"/>
  <c r="AY16" i="155"/>
  <c r="AU16" i="155"/>
  <c r="AQ16" i="155"/>
  <c r="AM16" i="155"/>
  <c r="AI16" i="155"/>
  <c r="AE16" i="155"/>
  <c r="AA16" i="155"/>
  <c r="W16" i="155"/>
  <c r="S16" i="155"/>
  <c r="O16" i="155"/>
  <c r="J16" i="155"/>
  <c r="BW15" i="155"/>
  <c r="BS15" i="155"/>
  <c r="BO15" i="155"/>
  <c r="BK15" i="155"/>
  <c r="BG15" i="155"/>
  <c r="BC15" i="155"/>
  <c r="AY15" i="155"/>
  <c r="AU15" i="155"/>
  <c r="AQ15" i="155"/>
  <c r="AM15" i="155"/>
  <c r="AI15" i="155"/>
  <c r="AE15" i="155"/>
  <c r="AA15" i="155"/>
  <c r="W15" i="155"/>
  <c r="S15" i="155"/>
  <c r="O15" i="155"/>
  <c r="J15" i="155"/>
  <c r="BW14" i="155"/>
  <c r="BS14" i="155"/>
  <c r="BO14" i="155"/>
  <c r="BK14" i="155"/>
  <c r="BG14" i="155"/>
  <c r="BC14" i="155"/>
  <c r="AY14" i="155"/>
  <c r="AU14" i="155"/>
  <c r="AQ14" i="155"/>
  <c r="AM14" i="155"/>
  <c r="AI14" i="155"/>
  <c r="AE14" i="155"/>
  <c r="AA14" i="155"/>
  <c r="W14" i="155"/>
  <c r="S14" i="155"/>
  <c r="O14" i="155"/>
  <c r="J14" i="155"/>
  <c r="BW13" i="155"/>
  <c r="BS13" i="155"/>
  <c r="BO13" i="155"/>
  <c r="BK13" i="155"/>
  <c r="BG13" i="155"/>
  <c r="BC13" i="155"/>
  <c r="AY13" i="155"/>
  <c r="AU13" i="155"/>
  <c r="AQ13" i="155"/>
  <c r="AM13" i="155"/>
  <c r="AI13" i="155"/>
  <c r="AE13" i="155"/>
  <c r="AA13" i="155"/>
  <c r="W13" i="155"/>
  <c r="S13" i="155"/>
  <c r="O13" i="155"/>
  <c r="J13" i="155"/>
  <c r="BW12" i="155"/>
  <c r="BS12" i="155"/>
  <c r="BO12" i="155"/>
  <c r="BK12" i="155"/>
  <c r="BG12" i="155"/>
  <c r="BC12" i="155"/>
  <c r="AY12" i="155"/>
  <c r="AU12" i="155"/>
  <c r="AQ12" i="155"/>
  <c r="AM12" i="155"/>
  <c r="AI12" i="155"/>
  <c r="AE12" i="155"/>
  <c r="AA12" i="155"/>
  <c r="W12" i="155"/>
  <c r="S12" i="155"/>
  <c r="O12" i="155"/>
  <c r="J12" i="155"/>
  <c r="BW11" i="155"/>
  <c r="BS11" i="155"/>
  <c r="BO11" i="155"/>
  <c r="BK11" i="155"/>
  <c r="BG11" i="155"/>
  <c r="BC11" i="155"/>
  <c r="AY11" i="155"/>
  <c r="AU11" i="155"/>
  <c r="AQ11" i="155"/>
  <c r="AM11" i="155"/>
  <c r="AI11" i="155"/>
  <c r="AE11" i="155"/>
  <c r="AA11" i="155"/>
  <c r="W11" i="155"/>
  <c r="S11" i="155"/>
  <c r="O11" i="155"/>
  <c r="J11" i="155"/>
  <c r="BW10" i="155"/>
  <c r="BS10" i="155"/>
  <c r="BO10" i="155"/>
  <c r="BK10" i="155"/>
  <c r="BG10" i="155"/>
  <c r="BC10" i="155"/>
  <c r="AY10" i="155"/>
  <c r="AU10" i="155"/>
  <c r="AQ10" i="155"/>
  <c r="AM10" i="155"/>
  <c r="AI10" i="155"/>
  <c r="AE10" i="155"/>
  <c r="AA10" i="155"/>
  <c r="W10" i="155"/>
  <c r="S10" i="155"/>
  <c r="O10" i="155"/>
  <c r="J10" i="155"/>
  <c r="BW9" i="155"/>
  <c r="BS9" i="155"/>
  <c r="BO9" i="155"/>
  <c r="BK9" i="155"/>
  <c r="BG9" i="155"/>
  <c r="BC9" i="155"/>
  <c r="AY9" i="155"/>
  <c r="AU9" i="155"/>
  <c r="AQ9" i="155"/>
  <c r="AM9" i="155"/>
  <c r="AI9" i="155"/>
  <c r="AE9" i="155"/>
  <c r="AA9" i="155"/>
  <c r="W9" i="155"/>
  <c r="S9" i="155"/>
  <c r="O9" i="155"/>
  <c r="J9" i="155"/>
  <c r="BW8" i="155"/>
  <c r="BS8" i="155"/>
  <c r="BO8" i="155"/>
  <c r="BK8" i="155"/>
  <c r="BG8" i="155"/>
  <c r="BC8" i="155"/>
  <c r="AY8" i="155"/>
  <c r="AU8" i="155"/>
  <c r="AQ8" i="155"/>
  <c r="AM8" i="155"/>
  <c r="AI8" i="155"/>
  <c r="AE8" i="155"/>
  <c r="AA8" i="155"/>
  <c r="W8" i="155"/>
  <c r="S8" i="155"/>
  <c r="O8" i="155"/>
  <c r="J8" i="155"/>
  <c r="BW7" i="155"/>
  <c r="BS7" i="155"/>
  <c r="BO7" i="155"/>
  <c r="BK7" i="155"/>
  <c r="BG7" i="155"/>
  <c r="BC7" i="155"/>
  <c r="AY7" i="155"/>
  <c r="AU7" i="155"/>
  <c r="AQ7" i="155"/>
  <c r="AM7" i="155"/>
  <c r="AI7" i="155"/>
  <c r="AE7" i="155"/>
  <c r="AA7" i="155"/>
  <c r="W7" i="155"/>
  <c r="S7" i="155"/>
  <c r="O7" i="155"/>
  <c r="J7" i="155"/>
  <c r="BU6" i="155"/>
  <c r="BQ6" i="155"/>
  <c r="BP6" i="155"/>
  <c r="BN6" i="155"/>
  <c r="BO6" i="155" s="1"/>
  <c r="BM6" i="155"/>
  <c r="BL6" i="155"/>
  <c r="BJ6" i="155"/>
  <c r="BK6" i="155" s="1"/>
  <c r="BI6" i="155"/>
  <c r="BD6" i="155"/>
  <c r="AW6" i="155"/>
  <c r="AS6" i="155"/>
  <c r="AR6" i="155"/>
  <c r="AP6" i="155"/>
  <c r="AQ6" i="155" s="1"/>
  <c r="AO6" i="155"/>
  <c r="AN6" i="155"/>
  <c r="AL6" i="155"/>
  <c r="AM6" i="155" s="1"/>
  <c r="AK6" i="155"/>
  <c r="AF6" i="155"/>
  <c r="Y6" i="155"/>
  <c r="U6" i="155"/>
  <c r="T6" i="155"/>
  <c r="R6" i="155"/>
  <c r="S6" i="155" s="1"/>
  <c r="Q6" i="155"/>
  <c r="P6" i="155"/>
  <c r="N6" i="155"/>
  <c r="O6" i="155" s="1"/>
  <c r="M6" i="155"/>
  <c r="BP5" i="155"/>
  <c r="BS5" i="155" s="1"/>
  <c r="BL5" i="155"/>
  <c r="BO5" i="155" s="1"/>
  <c r="BH5" i="155"/>
  <c r="BK5" i="155" s="1"/>
  <c r="BD5" i="155"/>
  <c r="BG5" i="155" s="1"/>
  <c r="AR5" i="155"/>
  <c r="AU5" i="155" s="1"/>
  <c r="AN5" i="155"/>
  <c r="AQ5" i="155" s="1"/>
  <c r="AJ5" i="155"/>
  <c r="AM5" i="155" s="1"/>
  <c r="AF5" i="155"/>
  <c r="AI5" i="155" s="1"/>
  <c r="T5" i="155"/>
  <c r="W5" i="155" s="1"/>
  <c r="P5" i="155"/>
  <c r="S5" i="155" s="1"/>
  <c r="L5" i="155"/>
  <c r="O5" i="155" s="1"/>
  <c r="BS4" i="155"/>
  <c r="BT5" i="155" s="1"/>
  <c r="BW5" i="155" s="1"/>
  <c r="BP4" i="155"/>
  <c r="BO4" i="155"/>
  <c r="BR6" i="155" s="1"/>
  <c r="BS6" i="155" s="1"/>
  <c r="BL4" i="155"/>
  <c r="BK4" i="155"/>
  <c r="BG4" i="155"/>
  <c r="BH6" i="155" s="1"/>
  <c r="BC4" i="155"/>
  <c r="BF6" i="155" s="1"/>
  <c r="BG6" i="155" s="1"/>
  <c r="AY4" i="155"/>
  <c r="BB6" i="155" s="1"/>
  <c r="BC6" i="155" s="1"/>
  <c r="AU4" i="155"/>
  <c r="AV5" i="155" s="1"/>
  <c r="AY5" i="155" s="1"/>
  <c r="AR4" i="155"/>
  <c r="AQ4" i="155"/>
  <c r="AT6" i="155" s="1"/>
  <c r="AU6" i="155" s="1"/>
  <c r="AN4" i="155"/>
  <c r="AM4" i="155"/>
  <c r="AI4" i="155"/>
  <c r="AJ6" i="155" s="1"/>
  <c r="AE4" i="155"/>
  <c r="AH6" i="155" s="1"/>
  <c r="AI6" i="155" s="1"/>
  <c r="AA4" i="155"/>
  <c r="AD6" i="155" s="1"/>
  <c r="AE6" i="155" s="1"/>
  <c r="W4" i="155"/>
  <c r="Z6" i="155" s="1"/>
  <c r="AA6" i="155" s="1"/>
  <c r="T4" i="155"/>
  <c r="S4" i="155"/>
  <c r="V6" i="155" s="1"/>
  <c r="W6" i="155" s="1"/>
  <c r="P4" i="155"/>
  <c r="O4" i="155"/>
  <c r="K4" i="155"/>
  <c r="L4" i="155" s="1"/>
  <c r="J4" i="155"/>
  <c r="BT3" i="155"/>
  <c r="BP3" i="155"/>
  <c r="BL3" i="155"/>
  <c r="BH3" i="155"/>
  <c r="BD3" i="155"/>
  <c r="AZ3" i="155"/>
  <c r="AV3" i="155"/>
  <c r="AR3" i="155"/>
  <c r="AN3" i="155"/>
  <c r="AJ3" i="155"/>
  <c r="AF3" i="155"/>
  <c r="AB3" i="155"/>
  <c r="X3" i="155"/>
  <c r="T3" i="155"/>
  <c r="P3" i="155"/>
  <c r="L3" i="155"/>
  <c r="J3" i="155"/>
  <c r="J2" i="155"/>
  <c r="F1" i="155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T4" i="163" l="1"/>
  <c r="AR4" i="163"/>
  <c r="BP4" i="163"/>
  <c r="Z6" i="163"/>
  <c r="AA6" i="163" s="1"/>
  <c r="AX6" i="163"/>
  <c r="AY6" i="163" s="1"/>
  <c r="BV6" i="163"/>
  <c r="BW6" i="163" s="1"/>
  <c r="AB4" i="163"/>
  <c r="AZ4" i="163"/>
  <c r="AC6" i="163"/>
  <c r="BA6" i="163"/>
  <c r="P5" i="163"/>
  <c r="S5" i="163" s="1"/>
  <c r="AN5" i="163"/>
  <c r="AQ5" i="163" s="1"/>
  <c r="BL5" i="163"/>
  <c r="BO5" i="163" s="1"/>
  <c r="R6" i="163"/>
  <c r="S6" i="163" s="1"/>
  <c r="AD6" i="163"/>
  <c r="AE6" i="163" s="1"/>
  <c r="AP6" i="163"/>
  <c r="AQ6" i="163" s="1"/>
  <c r="BB6" i="163"/>
  <c r="BC6" i="163" s="1"/>
  <c r="BN6" i="163"/>
  <c r="BO6" i="163" s="1"/>
  <c r="AF4" i="163"/>
  <c r="BD4" i="163"/>
  <c r="T5" i="163"/>
  <c r="W5" i="163" s="1"/>
  <c r="AR5" i="163"/>
  <c r="AU5" i="163" s="1"/>
  <c r="BP5" i="163"/>
  <c r="BS5" i="163" s="1"/>
  <c r="T6" i="163"/>
  <c r="AR6" i="163"/>
  <c r="BP6" i="163"/>
  <c r="U6" i="163"/>
  <c r="AG6" i="163"/>
  <c r="AS6" i="163"/>
  <c r="BE6" i="163"/>
  <c r="BQ6" i="163"/>
  <c r="AN4" i="162"/>
  <c r="AB5" i="162"/>
  <c r="AE5" i="162" s="1"/>
  <c r="AZ5" i="162"/>
  <c r="BC5" i="162" s="1"/>
  <c r="L6" i="162"/>
  <c r="X6" i="162"/>
  <c r="AJ6" i="162"/>
  <c r="AV6" i="162"/>
  <c r="BH6" i="162"/>
  <c r="BT6" i="162"/>
  <c r="M6" i="162"/>
  <c r="Y6" i="162"/>
  <c r="AK6" i="162"/>
  <c r="AW6" i="162"/>
  <c r="BI6" i="162"/>
  <c r="BU6" i="162"/>
  <c r="AF5" i="162"/>
  <c r="AI5" i="162" s="1"/>
  <c r="BD5" i="162"/>
  <c r="BG5" i="162" s="1"/>
  <c r="N6" i="162"/>
  <c r="O6" i="162" s="1"/>
  <c r="AL6" i="162"/>
  <c r="AM6" i="162" s="1"/>
  <c r="BJ6" i="162"/>
  <c r="BK6" i="162" s="1"/>
  <c r="AB4" i="162"/>
  <c r="AZ4" i="162"/>
  <c r="Q6" i="162"/>
  <c r="AC6" i="162"/>
  <c r="AO6" i="162"/>
  <c r="BA6" i="162"/>
  <c r="BM6" i="162"/>
  <c r="AB6" i="162"/>
  <c r="P5" i="162"/>
  <c r="S5" i="162" s="1"/>
  <c r="AN5" i="162"/>
  <c r="AQ5" i="162" s="1"/>
  <c r="BL5" i="162"/>
  <c r="BO5" i="162" s="1"/>
  <c r="R6" i="162"/>
  <c r="S6" i="162" s="1"/>
  <c r="BN6" i="162"/>
  <c r="BO6" i="162" s="1"/>
  <c r="AF4" i="162"/>
  <c r="BD4" i="162"/>
  <c r="AB6" i="161"/>
  <c r="AZ5" i="161"/>
  <c r="BC5" i="161" s="1"/>
  <c r="T4" i="161"/>
  <c r="AR4" i="161"/>
  <c r="BP4" i="161"/>
  <c r="M6" i="161"/>
  <c r="AK6" i="161"/>
  <c r="BI6" i="161"/>
  <c r="AB5" i="161"/>
  <c r="AE5" i="161" s="1"/>
  <c r="AF5" i="161"/>
  <c r="AI5" i="161" s="1"/>
  <c r="BD5" i="161"/>
  <c r="BG5" i="161" s="1"/>
  <c r="BA6" i="161"/>
  <c r="AD6" i="161"/>
  <c r="AE6" i="161" s="1"/>
  <c r="BB6" i="161"/>
  <c r="BC6" i="161" s="1"/>
  <c r="AZ6" i="161"/>
  <c r="AF4" i="161"/>
  <c r="BD4" i="161"/>
  <c r="AC6" i="161"/>
  <c r="T5" i="161"/>
  <c r="W5" i="161" s="1"/>
  <c r="AR5" i="161"/>
  <c r="AU5" i="161" s="1"/>
  <c r="BP5" i="161"/>
  <c r="BS5" i="161" s="1"/>
  <c r="T6" i="161"/>
  <c r="AF6" i="161"/>
  <c r="AR6" i="161"/>
  <c r="BD6" i="161"/>
  <c r="BP6" i="161"/>
  <c r="U6" i="161"/>
  <c r="AG6" i="161"/>
  <c r="AS6" i="161"/>
  <c r="BE6" i="161"/>
  <c r="BQ6" i="161"/>
  <c r="Z6" i="160"/>
  <c r="AA6" i="160" s="1"/>
  <c r="AX6" i="160"/>
  <c r="AY6" i="160" s="1"/>
  <c r="AB5" i="160"/>
  <c r="AE5" i="160" s="1"/>
  <c r="AZ5" i="160"/>
  <c r="BC5" i="160" s="1"/>
  <c r="L6" i="160"/>
  <c r="X6" i="160"/>
  <c r="AJ6" i="160"/>
  <c r="AV6" i="160"/>
  <c r="BH6" i="160"/>
  <c r="BT6" i="160"/>
  <c r="BV6" i="160"/>
  <c r="BW6" i="160" s="1"/>
  <c r="M6" i="160"/>
  <c r="Y6" i="160"/>
  <c r="AK6" i="160"/>
  <c r="AW6" i="160"/>
  <c r="BI6" i="160"/>
  <c r="BU6" i="160"/>
  <c r="X4" i="160"/>
  <c r="AV4" i="160"/>
  <c r="BT4" i="160"/>
  <c r="AB6" i="160"/>
  <c r="AZ6" i="160"/>
  <c r="AB4" i="160"/>
  <c r="AZ4" i="160"/>
  <c r="Q6" i="160"/>
  <c r="AO6" i="160"/>
  <c r="BA6" i="160"/>
  <c r="BM6" i="160"/>
  <c r="AF6" i="160"/>
  <c r="BD6" i="160"/>
  <c r="AG6" i="160"/>
  <c r="BE6" i="160"/>
  <c r="T4" i="159"/>
  <c r="AR4" i="159"/>
  <c r="BP4" i="159"/>
  <c r="M6" i="159"/>
  <c r="Y6" i="159"/>
  <c r="AK6" i="159"/>
  <c r="AW6" i="159"/>
  <c r="BI6" i="159"/>
  <c r="BU6" i="159"/>
  <c r="AF5" i="159"/>
  <c r="AI5" i="159" s="1"/>
  <c r="BD5" i="159"/>
  <c r="BG5" i="159" s="1"/>
  <c r="N6" i="159"/>
  <c r="O6" i="159" s="1"/>
  <c r="Z6" i="159"/>
  <c r="AA6" i="159" s="1"/>
  <c r="AL6" i="159"/>
  <c r="AM6" i="159" s="1"/>
  <c r="AX6" i="159"/>
  <c r="AY6" i="159" s="1"/>
  <c r="BJ6" i="159"/>
  <c r="BK6" i="159" s="1"/>
  <c r="BV6" i="159"/>
  <c r="BW6" i="159" s="1"/>
  <c r="X4" i="159"/>
  <c r="AV4" i="159"/>
  <c r="BT4" i="159"/>
  <c r="L5" i="159"/>
  <c r="O5" i="159" s="1"/>
  <c r="AJ5" i="159"/>
  <c r="AM5" i="159" s="1"/>
  <c r="BH5" i="159"/>
  <c r="BK5" i="159" s="1"/>
  <c r="P6" i="159"/>
  <c r="AB6" i="159"/>
  <c r="AN6" i="159"/>
  <c r="AZ6" i="159"/>
  <c r="BL6" i="159"/>
  <c r="AB4" i="159"/>
  <c r="AZ4" i="159"/>
  <c r="Q6" i="159"/>
  <c r="AO6" i="159"/>
  <c r="BM6" i="159"/>
  <c r="BD4" i="159"/>
  <c r="T5" i="159"/>
  <c r="W5" i="159" s="1"/>
  <c r="BP5" i="159"/>
  <c r="BS5" i="159" s="1"/>
  <c r="AR6" i="159"/>
  <c r="U6" i="159"/>
  <c r="AG6" i="159"/>
  <c r="AS6" i="159"/>
  <c r="BE6" i="159"/>
  <c r="BQ6" i="159"/>
  <c r="AF4" i="159"/>
  <c r="V6" i="159"/>
  <c r="W6" i="159" s="1"/>
  <c r="AH6" i="159"/>
  <c r="AI6" i="159" s="1"/>
  <c r="AT6" i="159"/>
  <c r="AU6" i="159" s="1"/>
  <c r="BF6" i="159"/>
  <c r="BG6" i="159" s="1"/>
  <c r="BR6" i="159"/>
  <c r="BS6" i="159" s="1"/>
  <c r="AR4" i="158"/>
  <c r="BP4" i="158"/>
  <c r="AF5" i="158"/>
  <c r="AI5" i="158" s="1"/>
  <c r="BD5" i="158"/>
  <c r="BG5" i="158" s="1"/>
  <c r="N6" i="158"/>
  <c r="O6" i="158" s="1"/>
  <c r="Z6" i="158"/>
  <c r="AA6" i="158" s="1"/>
  <c r="AL6" i="158"/>
  <c r="AM6" i="158" s="1"/>
  <c r="AX6" i="158"/>
  <c r="AY6" i="158" s="1"/>
  <c r="BJ6" i="158"/>
  <c r="BK6" i="158" s="1"/>
  <c r="T4" i="158"/>
  <c r="L5" i="158"/>
  <c r="O5" i="158" s="1"/>
  <c r="AJ5" i="158"/>
  <c r="AM5" i="158" s="1"/>
  <c r="BH5" i="158"/>
  <c r="BK5" i="158" s="1"/>
  <c r="P6" i="158"/>
  <c r="AB6" i="158"/>
  <c r="AN6" i="158"/>
  <c r="AZ6" i="158"/>
  <c r="BL6" i="158"/>
  <c r="AB4" i="158"/>
  <c r="AZ4" i="158"/>
  <c r="Q6" i="158"/>
  <c r="AO6" i="158"/>
  <c r="BM6" i="158"/>
  <c r="P5" i="158"/>
  <c r="S5" i="158" s="1"/>
  <c r="BL5" i="158"/>
  <c r="BO5" i="158" s="1"/>
  <c r="R6" i="158"/>
  <c r="S6" i="158" s="1"/>
  <c r="BN6" i="158"/>
  <c r="BO6" i="158" s="1"/>
  <c r="AN5" i="158"/>
  <c r="AQ5" i="158" s="1"/>
  <c r="AP6" i="158"/>
  <c r="AQ6" i="158" s="1"/>
  <c r="AF4" i="158"/>
  <c r="BD4" i="158"/>
  <c r="AR5" i="158"/>
  <c r="AU5" i="158" s="1"/>
  <c r="T6" i="158"/>
  <c r="BD6" i="158"/>
  <c r="T5" i="158"/>
  <c r="W5" i="158" s="1"/>
  <c r="BP5" i="158"/>
  <c r="BS5" i="158" s="1"/>
  <c r="AF6" i="158"/>
  <c r="AR6" i="158"/>
  <c r="BP6" i="158"/>
  <c r="U6" i="158"/>
  <c r="AG6" i="158"/>
  <c r="AS6" i="158"/>
  <c r="BE6" i="158"/>
  <c r="BQ6" i="158"/>
  <c r="AN4" i="157"/>
  <c r="X6" i="157"/>
  <c r="AV6" i="157"/>
  <c r="BT6" i="157"/>
  <c r="P4" i="157"/>
  <c r="AF5" i="157"/>
  <c r="AI5" i="157" s="1"/>
  <c r="AX6" i="157"/>
  <c r="AY6" i="157" s="1"/>
  <c r="BL4" i="157"/>
  <c r="BV6" i="157"/>
  <c r="BW6" i="157" s="1"/>
  <c r="L5" i="157"/>
  <c r="O5" i="157" s="1"/>
  <c r="AJ5" i="157"/>
  <c r="AM5" i="157" s="1"/>
  <c r="BH5" i="157"/>
  <c r="BK5" i="157" s="1"/>
  <c r="P6" i="157"/>
  <c r="AN6" i="157"/>
  <c r="BL6" i="157"/>
  <c r="Q6" i="157"/>
  <c r="AO6" i="157"/>
  <c r="BM6" i="157"/>
  <c r="P5" i="157"/>
  <c r="S5" i="157" s="1"/>
  <c r="AN5" i="157"/>
  <c r="AQ5" i="157" s="1"/>
  <c r="BL5" i="157"/>
  <c r="BO5" i="157" s="1"/>
  <c r="T5" i="157"/>
  <c r="W5" i="157" s="1"/>
  <c r="AR5" i="157"/>
  <c r="AU5" i="157" s="1"/>
  <c r="BP5" i="157"/>
  <c r="BS5" i="157" s="1"/>
  <c r="T6" i="157"/>
  <c r="AF6" i="157"/>
  <c r="AR6" i="157"/>
  <c r="BD6" i="157"/>
  <c r="BP6" i="157"/>
  <c r="AB6" i="156"/>
  <c r="AZ6" i="156"/>
  <c r="X6" i="156"/>
  <c r="AV6" i="156"/>
  <c r="BA6" i="156"/>
  <c r="AB5" i="156"/>
  <c r="AE5" i="156" s="1"/>
  <c r="AZ5" i="156"/>
  <c r="BC5" i="156" s="1"/>
  <c r="BT6" i="156"/>
  <c r="T4" i="156"/>
  <c r="AR4" i="156"/>
  <c r="BP4" i="156"/>
  <c r="Y6" i="156"/>
  <c r="AW6" i="156"/>
  <c r="BU6" i="156"/>
  <c r="Z6" i="156"/>
  <c r="AA6" i="156" s="1"/>
  <c r="AX6" i="156"/>
  <c r="AY6" i="156" s="1"/>
  <c r="BV6" i="156"/>
  <c r="BW6" i="156" s="1"/>
  <c r="X4" i="156"/>
  <c r="AV4" i="156"/>
  <c r="BT4" i="156"/>
  <c r="AZ4" i="156"/>
  <c r="AD6" i="156"/>
  <c r="AE6" i="156" s="1"/>
  <c r="AB4" i="156"/>
  <c r="AF4" i="156"/>
  <c r="BD4" i="156"/>
  <c r="T5" i="156"/>
  <c r="W5" i="156" s="1"/>
  <c r="AR5" i="156"/>
  <c r="AU5" i="156" s="1"/>
  <c r="BP5" i="156"/>
  <c r="BS5" i="156" s="1"/>
  <c r="T6" i="156"/>
  <c r="AF6" i="156"/>
  <c r="AR6" i="156"/>
  <c r="BD6" i="156"/>
  <c r="BP6" i="156"/>
  <c r="U6" i="156"/>
  <c r="AG6" i="156"/>
  <c r="AS6" i="156"/>
  <c r="BE6" i="156"/>
  <c r="BQ6" i="156"/>
  <c r="AX6" i="155"/>
  <c r="AY6" i="155" s="1"/>
  <c r="AV4" i="155"/>
  <c r="AJ4" i="155"/>
  <c r="BH4" i="155"/>
  <c r="BE6" i="155"/>
  <c r="AB5" i="155"/>
  <c r="AE5" i="155" s="1"/>
  <c r="AZ5" i="155"/>
  <c r="BC5" i="155" s="1"/>
  <c r="L6" i="155"/>
  <c r="X6" i="155"/>
  <c r="AV6" i="155"/>
  <c r="BT6" i="155"/>
  <c r="AB6" i="155"/>
  <c r="AZ6" i="155"/>
  <c r="AB4" i="155"/>
  <c r="AZ4" i="155"/>
  <c r="AC6" i="155"/>
  <c r="BA6" i="155"/>
  <c r="BT4" i="155"/>
  <c r="AF4" i="155"/>
  <c r="BD4" i="155"/>
  <c r="BV6" i="155"/>
  <c r="BW6" i="155" s="1"/>
  <c r="X4" i="155"/>
  <c r="AG6" i="155"/>
  <c r="X5" i="155"/>
  <c r="AA5" i="155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E36" i="1"/>
  <c r="E37" i="1" s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G36" i="1"/>
  <c r="F36" i="1"/>
  <c r="F37" i="1" s="1"/>
  <c r="D36" i="1"/>
  <c r="D37" i="1" s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H4" i="2"/>
  <c r="BR6" i="2"/>
  <c r="BS6" i="2" s="1"/>
  <c r="BN6" i="2"/>
  <c r="BO6" i="2" s="1"/>
  <c r="BV6" i="2"/>
  <c r="BW6" i="2" s="1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24" i="1"/>
  <c r="C36" i="1"/>
  <c r="C37" i="1" s="1"/>
</calcChain>
</file>

<file path=xl/sharedStrings.xml><?xml version="1.0" encoding="utf-8"?>
<sst xmlns="http://schemas.openxmlformats.org/spreadsheetml/2006/main" count="1351" uniqueCount="823">
  <si>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</si>
  <si>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</si>
  <si>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</si>
  <si>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</si>
  <si>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</si>
  <si>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</si>
  <si>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</si>
  <si>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</si>
  <si>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</si>
  <si>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</si>
  <si>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</si>
  <si>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</si>
  <si>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</si>
  <si>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</si>
  <si>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</si>
  <si>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</si>
  <si>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</si>
  <si>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</si>
  <si>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</si>
  <si>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</si>
  <si>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</si>
  <si>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</si>
  <si>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</si>
  <si>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</si>
  <si>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</si>
  <si>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</si>
  <si>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</si>
  <si>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</si>
  <si>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</si>
  <si>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</si>
  <si>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</si>
  <si>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</si>
  <si>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</si>
  <si>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</si>
  <si>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</si>
  <si>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</si>
  <si>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</si>
  <si>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</si>
  <si>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</si>
  <si>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</si>
  <si>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</si>
  <si>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</si>
  <si>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</si>
  <si>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</si>
  <si>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</si>
  <si>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</si>
  <si>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</si>
  <si>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</si>
  <si>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</si>
  <si>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</si>
  <si>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</si>
  <si>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</si>
  <si>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</si>
  <si>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</si>
  <si>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</si>
  <si>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</si>
  <si>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</si>
  <si>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</si>
  <si>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</si>
  <si>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</si>
  <si>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</si>
  <si>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</si>
  <si>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</si>
  <si>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</si>
  <si>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</si>
  <si>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</si>
  <si>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</si>
  <si>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</si>
  <si>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</si>
  <si>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</si>
  <si>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</si>
  <si>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</si>
  <si>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</si>
  <si>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</si>
  <si>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</si>
  <si>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</si>
  <si>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</si>
  <si>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</si>
  <si>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</si>
  <si>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</si>
  <si>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</si>
  <si>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</si>
  <si>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</si>
  <si>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</si>
  <si>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</si>
  <si>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</si>
  <si>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</si>
  <si>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</si>
  <si>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</si>
  <si>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</si>
  <si>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</si>
  <si>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</si>
  <si>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</si>
  <si>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</si>
  <si>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</si>
  <si>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</si>
  <si>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</si>
  <si>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</si>
  <si>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</si>
  <si>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</si>
  <si>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</si>
  <si>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</si>
  <si>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</si>
  <si>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</si>
  <si>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</si>
  <si>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</si>
  <si>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</si>
  <si>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</si>
  <si>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</si>
  <si>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</si>
  <si>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</si>
  <si>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</si>
  <si>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</si>
  <si>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</si>
  <si>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</si>
  <si>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</si>
  <si>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</si>
  <si>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</si>
  <si>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</si>
  <si>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</si>
  <si>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</si>
  <si>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</si>
  <si>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</si>
  <si>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</si>
  <si>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</si>
  <si>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</si>
  <si>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</si>
  <si>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</si>
  <si>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</si>
  <si>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</si>
  <si>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</si>
  <si>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</si>
  <si>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</si>
  <si>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</si>
  <si>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</si>
  <si>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</si>
  <si>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</si>
  <si>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</si>
  <si>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</si>
  <si>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</si>
  <si>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</si>
  <si>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</si>
  <si>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</si>
  <si>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</si>
  <si>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</si>
  <si>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</si>
  <si>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</si>
  <si>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</si>
  <si>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</si>
  <si>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</si>
  <si>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</si>
  <si>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</si>
  <si>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</si>
  <si>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</si>
  <si>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</si>
  <si>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</si>
  <si>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</si>
  <si>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</si>
  <si>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</si>
  <si>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</si>
  <si>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</si>
  <si>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</si>
  <si>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</si>
  <si>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</si>
  <si>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</si>
  <si>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</si>
  <si>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</si>
  <si>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</si>
  <si>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</si>
  <si>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</si>
  <si>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</si>
  <si>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</si>
  <si>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</si>
  <si>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</si>
  <si>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</si>
  <si>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</si>
  <si>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</si>
  <si>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</si>
  <si>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</si>
  <si>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</si>
  <si>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</si>
  <si>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</si>
  <si>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</si>
  <si>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</si>
  <si>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</si>
  <si>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</si>
  <si>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</si>
  <si>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</si>
  <si>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</si>
  <si>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</si>
  <si>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</si>
  <si>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</si>
  <si>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</si>
  <si>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</si>
  <si>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</si>
  <si>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</si>
  <si>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</si>
  <si>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</si>
  <si>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</si>
  <si>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</si>
  <si>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</si>
  <si>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</si>
  <si>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</si>
  <si>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</si>
  <si>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</si>
  <si>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</si>
  <si>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</si>
  <si>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</si>
  <si>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</si>
  <si>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</si>
  <si>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</si>
  <si>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</si>
  <si>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</si>
  <si>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</si>
  <si>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</si>
  <si>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</si>
  <si>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</si>
  <si>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</si>
  <si>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</si>
  <si>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</si>
  <si>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</si>
  <si>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</si>
  <si>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</si>
  <si>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</si>
  <si>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</si>
  <si>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</si>
  <si>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</si>
  <si>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</si>
  <si>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</si>
  <si>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</si>
  <si>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</si>
  <si>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</si>
  <si>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</si>
  <si>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</si>
  <si>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</si>
  <si>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</si>
  <si>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</si>
  <si>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</si>
  <si>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</si>
  <si>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</si>
  <si>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</si>
  <si>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</si>
  <si>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</si>
  <si>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</si>
  <si>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</si>
  <si>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</si>
  <si>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</si>
  <si>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</si>
  <si>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</si>
  <si>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</si>
  <si>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</si>
  <si>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</si>
  <si>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</si>
  <si>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</si>
  <si>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</si>
  <si>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</si>
  <si>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</si>
  <si>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</si>
  <si>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</si>
  <si>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</si>
  <si>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</si>
  <si>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</si>
  <si>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</si>
  <si>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</si>
  <si>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</si>
  <si>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</si>
  <si>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</si>
  <si>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</si>
  <si>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</si>
  <si>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</si>
  <si>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</si>
  <si>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</si>
  <si>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</si>
  <si>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</si>
  <si>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</si>
  <si>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</si>
  <si>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</si>
  <si>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</si>
  <si>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</si>
  <si>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</si>
  <si>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</si>
  <si>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</si>
  <si>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</si>
  <si>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</si>
  <si>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</si>
  <si>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</si>
  <si>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</si>
  <si>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</si>
  <si>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</si>
  <si>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</si>
  <si>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</si>
  <si>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</si>
  <si>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</si>
  <si>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</si>
  <si>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</si>
  <si>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</si>
  <si>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</si>
  <si>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</si>
  <si>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</si>
  <si>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</si>
  <si>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</si>
  <si>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</si>
  <si>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</si>
  <si>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</si>
  <si>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</si>
  <si>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</si>
  <si>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</si>
  <si>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</si>
  <si>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</si>
  <si>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</si>
  <si>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</si>
  <si>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</si>
  <si>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</si>
  <si>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</si>
  <si>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</si>
  <si>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</si>
  <si>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</si>
  <si>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</si>
  <si>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</si>
  <si>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</si>
  <si>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</si>
  <si>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</si>
  <si>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</si>
  <si>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</si>
  <si>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</si>
  <si>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</si>
  <si>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</si>
  <si>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</si>
  <si>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</si>
  <si>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</si>
  <si>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</si>
  <si>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</si>
  <si>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</si>
  <si>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</si>
  <si>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</si>
  <si>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</si>
  <si>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</si>
  <si>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</si>
  <si>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</si>
  <si>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</si>
  <si>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</si>
  <si>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</si>
  <si>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</si>
  <si>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</si>
  <si>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</si>
  <si>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</si>
  <si>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</si>
  <si>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</si>
  <si>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</si>
  <si>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</si>
  <si>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</si>
  <si>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</si>
  <si>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</si>
  <si>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</si>
  <si>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</si>
  <si>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</si>
  <si>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</si>
  <si>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</si>
  <si>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</si>
  <si>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</si>
  <si>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</si>
  <si>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</si>
  <si>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</si>
  <si>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</si>
  <si>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</si>
  <si>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</si>
  <si>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</si>
  <si>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</si>
  <si>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</si>
  <si>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</si>
  <si>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</si>
  <si>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</si>
  <si>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</si>
  <si>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</si>
  <si>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</si>
  <si>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</si>
  <si>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</si>
  <si>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</si>
  <si>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</si>
  <si>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</si>
  <si>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</si>
  <si>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</si>
  <si>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</si>
  <si>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</si>
  <si>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</si>
  <si>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</si>
  <si>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</si>
  <si>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</si>
  <si>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</si>
  <si>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</si>
  <si>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</si>
  <si>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</si>
  <si>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</si>
  <si>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</si>
  <si>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</si>
  <si>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</si>
  <si>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</si>
  <si>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</si>
  <si>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</si>
  <si>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</si>
  <si>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</si>
  <si>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</si>
  <si>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</si>
  <si>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</si>
  <si>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</si>
  <si>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</si>
  <si>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</si>
  <si>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</si>
  <si>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</si>
  <si>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</si>
  <si>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</si>
  <si>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</si>
  <si>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</si>
  <si>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</si>
  <si>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</si>
  <si>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</si>
  <si>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</si>
  <si>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</si>
  <si>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</si>
  <si>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</si>
  <si>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</si>
  <si>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</si>
  <si>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</si>
  <si>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</si>
  <si>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</si>
  <si>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</si>
  <si>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</si>
  <si>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</si>
  <si>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</si>
  <si>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</si>
  <si>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</si>
  <si>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</si>
  <si>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</si>
  <si>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</si>
  <si>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</si>
  <si>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</si>
  <si>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</si>
  <si>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</si>
  <si>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</si>
  <si>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</si>
  <si>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</si>
  <si>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</si>
  <si>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</si>
  <si>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</si>
  <si>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</si>
  <si>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</si>
  <si>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</si>
  <si>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</si>
  <si>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</si>
  <si>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</si>
  <si>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</si>
  <si>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</si>
  <si>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</si>
  <si>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</si>
  <si>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</si>
  <si>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</si>
  <si>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</si>
  <si>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</si>
  <si>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</si>
  <si>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</si>
  <si>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</si>
  <si>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</si>
  <si>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</si>
  <si>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</si>
  <si>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</si>
  <si>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</si>
  <si>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</si>
  <si>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</si>
  <si>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</si>
  <si>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</si>
  <si>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</si>
  <si>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</si>
  <si>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</si>
  <si>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</si>
  <si>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</si>
  <si>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</si>
  <si>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</si>
  <si>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</si>
  <si>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</si>
  <si>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</si>
  <si>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</si>
  <si>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</si>
  <si>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</si>
  <si>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</si>
  <si>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</si>
  <si>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</si>
  <si>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</si>
  <si>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</si>
  <si>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</si>
  <si>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</si>
  <si>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</si>
  <si>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</si>
  <si>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</si>
  <si>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</si>
  <si>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</si>
  <si>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</si>
  <si>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</si>
  <si>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</si>
  <si>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</si>
  <si>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</si>
  <si>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</si>
  <si>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</si>
  <si>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</si>
  <si>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</si>
  <si>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</si>
  <si>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</si>
  <si>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</si>
  <si>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</si>
  <si>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</si>
  <si>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</si>
  <si>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</si>
  <si>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</si>
  <si>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</si>
  <si>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</si>
  <si>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</si>
  <si>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</si>
  <si>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</si>
  <si>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</si>
  <si>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</si>
  <si>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</si>
  <si>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</si>
  <si>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</si>
  <si>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</si>
  <si>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</si>
  <si>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</si>
  <si>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</si>
  <si>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</si>
  <si>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</si>
  <si>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</si>
  <si>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</si>
  <si>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</si>
  <si>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</si>
  <si>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</si>
  <si>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</si>
  <si>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</si>
  <si>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</si>
  <si>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</si>
  <si>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</si>
  <si>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</si>
  <si>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</si>
  <si>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</si>
  <si>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</si>
  <si>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</si>
  <si>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</si>
  <si>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</si>
  <si>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</si>
  <si>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</si>
  <si>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</si>
  <si>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</si>
  <si>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</si>
  <si>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</si>
  <si>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</si>
  <si>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</si>
  <si>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</si>
  <si>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</si>
  <si>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</si>
  <si>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</si>
  <si>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</si>
  <si>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</si>
  <si>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</si>
  <si>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</si>
  <si>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</si>
  <si>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</si>
  <si>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</si>
  <si>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</si>
  <si>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</si>
  <si>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</si>
  <si>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</si>
  <si>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</si>
  <si>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</si>
  <si>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</si>
  <si>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</si>
  <si>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</si>
  <si>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</si>
  <si>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</si>
  <si>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</si>
  <si>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</si>
  <si>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</si>
  <si>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</si>
  <si>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</si>
  <si>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</si>
  <si>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</si>
  <si>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</si>
  <si>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</si>
  <si>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</si>
  <si>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</si>
  <si>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</si>
  <si>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</si>
  <si>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</si>
  <si>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</si>
  <si>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</si>
  <si>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</si>
  <si>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</si>
  <si>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</si>
  <si>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</si>
  <si>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</si>
  <si>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</si>
  <si>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</si>
  <si>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</si>
  <si>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</si>
  <si>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</si>
  <si>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</si>
  <si>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</si>
  <si>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</si>
  <si>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</si>
  <si>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</si>
  <si>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</si>
  <si>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</si>
  <si>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</si>
  <si>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</si>
  <si>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</si>
  <si>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</si>
  <si>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</si>
  <si>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</si>
  <si>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</si>
  <si>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</si>
  <si>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</si>
  <si>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</si>
  <si>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</si>
  <si>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</si>
  <si>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</si>
  <si>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</si>
  <si>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</si>
  <si>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</si>
  <si>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</si>
  <si>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</si>
  <si>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</si>
  <si>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</si>
  <si>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</si>
  <si>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</si>
  <si>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</si>
  <si>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</si>
  <si>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</si>
  <si>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</si>
  <si>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</si>
  <si>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</si>
  <si>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</si>
  <si>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</si>
  <si>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</si>
  <si>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</si>
  <si>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</si>
  <si>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</si>
  <si>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</si>
  <si>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</si>
  <si>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</si>
  <si>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</si>
  <si>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</si>
  <si>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</si>
  <si>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</si>
  <si>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</si>
  <si>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</si>
  <si>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</si>
  <si>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</si>
  <si>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</si>
  <si>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</si>
  <si>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</si>
  <si>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</si>
  <si>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</si>
  <si>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</si>
  <si>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</si>
  <si>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</si>
  <si>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</si>
  <si>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</si>
  <si>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</si>
  <si>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</si>
  <si>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</si>
  <si>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</si>
  <si>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</si>
  <si>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</si>
  <si>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</si>
  <si>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</si>
  <si>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</si>
  <si>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</si>
  <si>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</si>
  <si>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</si>
  <si>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</si>
  <si>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</si>
  <si>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</si>
  <si>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</si>
  <si>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</si>
  <si>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</si>
  <si>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</si>
  <si>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</si>
  <si>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</si>
  <si>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</si>
  <si>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</si>
  <si>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</si>
  <si>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</si>
  <si>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23C767581-01</t>
  </si>
  <si>
    <t>IKIGAI</t>
  </si>
  <si>
    <t>Gasoil 0.001%S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</si>
  <si>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</si>
  <si>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</si>
  <si>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</si>
  <si>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</si>
  <si>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</si>
  <si>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</si>
  <si>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</si>
  <si>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- 213400 Barrels</t>
  </si>
  <si>
    <t>Load Unleaded Gasoline 91 - 50000 Barrels</t>
  </si>
  <si>
    <t>Load JET A-1 - 37500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</si>
  <si>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</si>
  <si>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</si>
  <si>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</si>
  <si>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</si>
  <si>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</si>
  <si>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</si>
  <si>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</si>
  <si>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</si>
  <si>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</si>
  <si>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</si>
  <si>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</si>
  <si>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</si>
  <si>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</si>
  <si>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</si>
  <si>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</si>
  <si>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</si>
  <si>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</si>
  <si>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</si>
  <si>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</si>
  <si>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</si>
  <si>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</si>
  <si>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</si>
  <si>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</si>
  <si>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</si>
  <si>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</si>
  <si>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</si>
  <si>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</si>
  <si>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</si>
  <si>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10 (buy)</t>
  </si>
  <si>
    <t>max = 11 (buy)</t>
  </si>
  <si>
    <t>max = 0.01 (buy)</t>
  </si>
  <si>
    <t>max = 0.20 (buy)</t>
  </si>
  <si>
    <t>min = 46 (buy)</t>
  </si>
  <si>
    <t>Report only</t>
  </si>
  <si>
    <t>max = 14 (buy)</t>
  </si>
  <si>
    <t>max = 1 (buy)</t>
  </si>
  <si>
    <t>min = 0.820 / max = 0.850 (buy)</t>
  </si>
  <si>
    <t>max = 360 (buy)</t>
  </si>
  <si>
    <t>min = 150 / max = 500 (buy)</t>
  </si>
  <si>
    <t>max = 0.1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</si>
  <si>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</si>
  <si>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</si>
  <si>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</si>
  <si>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</si>
  <si>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</si>
  <si>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</si>
  <si>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</si>
  <si>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max = 0.05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</si>
  <si>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</si>
  <si>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</si>
  <si>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</si>
  <si>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</si>
  <si>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</si>
  <si>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</si>
  <si>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</si>
  <si>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</si>
  <si>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</si>
  <si>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</si>
  <si>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</si>
  <si>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</si>
  <si>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</si>
  <si>
    <t>김지은</t>
    <phoneticPr fontId="1" type="noConversion"/>
  </si>
  <si>
    <t>[ASTM] D664</t>
  </si>
  <si>
    <t>[ASTM] D974</t>
  </si>
  <si>
    <t>[ASTM] D4176 Procedure 2</t>
  </si>
  <si>
    <t>[IP] IP 391</t>
  </si>
  <si>
    <t>[ASTM] D482</t>
  </si>
  <si>
    <t>[ASTM] D4530</t>
  </si>
  <si>
    <t>[ASTM] D4737</t>
  </si>
  <si>
    <t>[IP] IP 309</t>
  </si>
  <si>
    <t>[ASTM] D2500</t>
  </si>
  <si>
    <t>[ASTM] D1500</t>
  </si>
  <si>
    <t>[ASTM] D130</t>
  </si>
  <si>
    <t>[ASTM] D4052</t>
  </si>
  <si>
    <t>[ASTM] D86</t>
  </si>
  <si>
    <t>[ASTM] D2624</t>
  </si>
  <si>
    <t>[EN] EN 14078</t>
  </si>
  <si>
    <t>[IP] IP 387</t>
  </si>
  <si>
    <t>[ASTM] D93</t>
  </si>
  <si>
    <t>[IP] IP 570 - Procedure A</t>
  </si>
  <si>
    <t>[IP] IP 450</t>
  </si>
  <si>
    <t>[ASTM] D2274</t>
  </si>
  <si>
    <t>[ASTM] D5453</t>
  </si>
  <si>
    <t>[ASTM] D445</t>
  </si>
  <si>
    <t>[ASTM] D2709</t>
  </si>
  <si>
    <t>v</t>
  </si>
  <si>
    <t>0</t>
    <phoneticPr fontId="1" type="noConversion"/>
  </si>
  <si>
    <t>&lt;</t>
  </si>
  <si>
    <t>0.02</t>
    <phoneticPr fontId="1" type="noConversion"/>
  </si>
  <si>
    <t>pass</t>
    <phoneticPr fontId="1" type="noConversion"/>
  </si>
  <si>
    <t>1</t>
    <phoneticPr fontId="1" type="noConversion"/>
  </si>
  <si>
    <t>24.8</t>
    <phoneticPr fontId="1" type="noConversion"/>
  </si>
  <si>
    <t>1.8</t>
    <phoneticPr fontId="1" type="noConversion"/>
  </si>
  <si>
    <t>0.01</t>
    <phoneticPr fontId="1" type="noConversion"/>
  </si>
  <si>
    <t>0.1</t>
    <phoneticPr fontId="1" type="noConversion"/>
  </si>
  <si>
    <t>53.8</t>
    <phoneticPr fontId="1" type="noConversion"/>
  </si>
  <si>
    <t>-3</t>
    <phoneticPr fontId="1" type="noConversion"/>
  </si>
  <si>
    <t>0.5</t>
    <phoneticPr fontId="1" type="noConversion"/>
  </si>
  <si>
    <t>1A</t>
    <phoneticPr fontId="1" type="noConversion"/>
  </si>
  <si>
    <t>0.8333</t>
    <phoneticPr fontId="1" type="noConversion"/>
  </si>
  <si>
    <t>354.0</t>
    <phoneticPr fontId="1" type="noConversion"/>
  </si>
  <si>
    <t>0.05</t>
    <phoneticPr fontId="1" type="noConversion"/>
  </si>
  <si>
    <t>1.03</t>
    <phoneticPr fontId="1" type="noConversion"/>
  </si>
  <si>
    <t>68.0</t>
    <phoneticPr fontId="1" type="noConversion"/>
  </si>
  <si>
    <t>0.60</t>
    <phoneticPr fontId="1" type="noConversion"/>
  </si>
  <si>
    <t>410</t>
    <phoneticPr fontId="1" type="noConversion"/>
  </si>
  <si>
    <t>1.0</t>
    <phoneticPr fontId="1" type="noConversion"/>
  </si>
  <si>
    <t>7.0</t>
    <phoneticPr fontId="1" type="noConversion"/>
  </si>
  <si>
    <t>2.823</t>
    <phoneticPr fontId="1" type="noConversion"/>
  </si>
  <si>
    <t>20D-572</t>
    <phoneticPr fontId="1" type="noConversion"/>
  </si>
  <si>
    <t>Kai Kim</t>
    <phoneticPr fontId="1" type="noConversion"/>
  </si>
  <si>
    <t>6B</t>
  </si>
  <si>
    <t>20024350-A</t>
    <phoneticPr fontId="1" type="noConversion"/>
  </si>
  <si>
    <t>NIL</t>
    <phoneticPr fontId="1" type="noConversion"/>
  </si>
  <si>
    <t>0.010</t>
    <phoneticPr fontId="1" type="noConversion"/>
  </si>
  <si>
    <t>170</t>
    <phoneticPr fontId="1" type="noConversion"/>
  </si>
  <si>
    <t>0</t>
    <phoneticPr fontId="1" type="noConversion"/>
  </si>
  <si>
    <t xml:space="preserve">GS CATLEX </t>
    <phoneticPr fontId="1" type="noConversion"/>
  </si>
  <si>
    <t>AUSTRALIA</t>
    <phoneticPr fontId="1" type="noConversion"/>
  </si>
  <si>
    <t>Shore Tank Gauge</t>
  </si>
  <si>
    <t>[OTHER] Additives (declaration)</t>
  </si>
  <si>
    <t>&lt;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</si>
</sst>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  <border>
      <left style="thin">
        <color rgb="FFFF9900"/>
      </left>
      <right style="thin">
        <color rgb="FFFF9900"/>
      </right>
      <top style="thin">
        <color rgb="FFFF9900"/>
      </top>
      <bottom/>
      <diagonal/>
    </border>
    <border>
      <left style="thin">
        <color rgb="FFFF6600"/>
      </left>
      <right style="thin">
        <color rgb="FFFF6600"/>
      </right>
      <top style="thin">
        <color rgb="FFFF6600"/>
      </top>
      <bottom style="thin">
        <color rgb="FFFF9900"/>
      </bottom>
      <diagonal/>
    </border>
    <border>
      <left style="thin">
        <color rgb="FFFF6600"/>
      </left>
      <right style="thin">
        <color rgb="FFFF6600"/>
      </right>
      <top style="thin">
        <color rgb="FFFF9900"/>
      </top>
      <bottom style="thin">
        <color rgb="FFFF9900"/>
      </bottom>
      <diagonal/>
    </border>
    <border>
      <left style="thin">
        <color rgb="FFFF6600"/>
      </left>
      <right style="thin">
        <color rgb="FFFF6600"/>
      </right>
      <top style="thin">
        <color rgb="FFFF9900"/>
      </top>
      <bottom style="thin">
        <color rgb="FFFF66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9900"/>
      </bottom>
      <diagonal/>
    </border>
    <border>
      <left style="thin">
        <color rgb="FFFFC000"/>
      </left>
      <right style="thin">
        <color rgb="FFFFC000"/>
      </right>
      <top style="thin">
        <color rgb="FFFF9900"/>
      </top>
      <bottom style="thin">
        <color rgb="FFFF9900"/>
      </bottom>
      <diagonal/>
    </border>
    <border>
      <left style="thin">
        <color rgb="FFFFC000"/>
      </left>
      <right style="thin">
        <color rgb="FFFFC000"/>
      </right>
      <top style="thin">
        <color rgb="FFFF9900"/>
      </top>
      <bottom style="thin">
        <color rgb="FFFFC000"/>
      </bottom>
      <diagonal/>
    </border>
    <border>
      <left style="thin">
        <color rgb="FFFFC000"/>
      </left>
      <right style="thin">
        <color rgb="FFFF9900"/>
      </right>
      <top style="thin">
        <color rgb="FFFFC000"/>
      </top>
      <bottom style="thin">
        <color rgb="FFFFC000"/>
      </bottom>
      <diagonal/>
    </border>
    <border>
      <left style="thin">
        <color rgb="FFFF9900"/>
      </left>
      <right style="thin">
        <color rgb="FFFF9900"/>
      </right>
      <top style="thin">
        <color rgb="FFFFC000"/>
      </top>
      <bottom style="thin">
        <color rgb="FFFFC000"/>
      </bottom>
      <diagonal/>
    </border>
    <border>
      <left style="thin">
        <color rgb="FFFF9900"/>
      </left>
      <right style="thin">
        <color rgb="FFFFC000"/>
      </right>
      <top style="thin">
        <color rgb="FFFFC000"/>
      </top>
      <bottom style="thin">
        <color rgb="FFFFC0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23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49" fontId="15" fillId="13" borderId="10" xfId="0" applyNumberFormat="1" applyFont="1" applyFill="1" applyBorder="1" applyAlignment="1" applyProtection="1">
      <alignment horizontal="left" vertical="center" shrinkToFit="1"/>
      <protection locked="0"/>
    </xf>
    <xf numFmtId="0" fontId="15" fillId="9" borderId="11" xfId="0" applyFont="1" applyFill="1" applyBorder="1" applyAlignment="1" applyProtection="1">
      <alignment horizontal="left" vertical="center" wrapText="1"/>
      <protection locked="0"/>
    </xf>
    <xf numFmtId="0" fontId="15" fillId="10" borderId="55" xfId="0" applyFont="1" applyFill="1" applyBorder="1" applyAlignment="1" applyProtection="1">
      <alignment horizontal="left" vertical="center" wrapText="1"/>
      <protection locked="0"/>
    </xf>
    <xf numFmtId="49" fontId="15" fillId="10" borderId="55" xfId="0" applyNumberFormat="1" applyFont="1" applyFill="1" applyBorder="1" applyAlignment="1" applyProtection="1">
      <alignment horizontal="left" vertical="center"/>
      <protection locked="0"/>
    </xf>
    <xf numFmtId="0" fontId="15" fillId="10" borderId="31" xfId="0" applyFont="1" applyFill="1" applyBorder="1" applyAlignment="1" applyProtection="1">
      <alignment horizontal="left" vertical="center" wrapText="1"/>
      <protection locked="0"/>
    </xf>
    <xf numFmtId="49" fontId="15" fillId="10" borderId="31" xfId="0" applyNumberFormat="1" applyFont="1" applyFill="1" applyBorder="1" applyAlignment="1" applyProtection="1">
      <alignment horizontal="left" vertical="center"/>
      <protection locked="0"/>
    </xf>
    <xf numFmtId="49" fontId="15" fillId="13" borderId="11" xfId="0" applyNumberFormat="1" applyFont="1" applyFill="1" applyBorder="1" applyAlignment="1" applyProtection="1">
      <alignment horizontal="left" vertical="center" shrinkToFit="1"/>
      <protection locked="0"/>
    </xf>
    <xf numFmtId="0" fontId="15" fillId="9" borderId="55" xfId="0" applyFont="1" applyFill="1" applyBorder="1" applyAlignment="1" applyProtection="1">
      <alignment horizontal="left" vertical="center" wrapText="1" shrinkToFit="1"/>
      <protection locked="0"/>
    </xf>
    <xf numFmtId="0" fontId="15" fillId="9" borderId="31" xfId="0" applyFont="1" applyFill="1" applyBorder="1" applyAlignment="1" applyProtection="1">
      <alignment horizontal="left" vertical="center" shrinkToFit="1"/>
      <protection locked="0"/>
    </xf>
    <xf numFmtId="49" fontId="15" fillId="10" borderId="10" xfId="0" applyNumberFormat="1" applyFont="1" applyFill="1" applyBorder="1" applyAlignment="1" applyProtection="1">
      <alignment horizontal="left" vertical="center"/>
      <protection locked="0"/>
    </xf>
    <xf numFmtId="0" fontId="15" fillId="9" borderId="56" xfId="0" applyFont="1" applyFill="1" applyBorder="1" applyAlignment="1" applyProtection="1">
      <alignment horizontal="left" vertical="center" wrapText="1" shrinkToFit="1"/>
      <protection locked="0"/>
    </xf>
    <xf numFmtId="0" fontId="15" fillId="9" borderId="57" xfId="0" applyFont="1" applyFill="1" applyBorder="1" applyAlignment="1" applyProtection="1">
      <alignment horizontal="left" vertical="center" wrapText="1" shrinkToFit="1"/>
      <protection locked="0"/>
    </xf>
    <xf numFmtId="0" fontId="15" fillId="9" borderId="58" xfId="0" applyFont="1" applyFill="1" applyBorder="1" applyAlignment="1" applyProtection="1">
      <alignment horizontal="left" vertical="center" wrapText="1" shrinkToFit="1"/>
      <protection locked="0"/>
    </xf>
    <xf numFmtId="49" fontId="15" fillId="10" borderId="59" xfId="0" applyNumberFormat="1" applyFont="1" applyFill="1" applyBorder="1" applyAlignment="1" applyProtection="1">
      <alignment horizontal="left" vertical="center"/>
      <protection locked="0"/>
    </xf>
    <xf numFmtId="49" fontId="15" fillId="10" borderId="60" xfId="0" applyNumberFormat="1" applyFont="1" applyFill="1" applyBorder="1" applyAlignment="1" applyProtection="1">
      <alignment horizontal="left" vertical="center"/>
      <protection locked="0"/>
    </xf>
    <xf numFmtId="49" fontId="15" fillId="10" borderId="61" xfId="0" applyNumberFormat="1" applyFont="1" applyFill="1" applyBorder="1" applyAlignment="1" applyProtection="1">
      <alignment horizontal="left" vertical="center"/>
      <protection locked="0"/>
    </xf>
    <xf numFmtId="0" fontId="15" fillId="10" borderId="62" xfId="0" applyFont="1" applyFill="1" applyBorder="1" applyAlignment="1" applyProtection="1">
      <alignment horizontal="left" vertical="center" wrapText="1"/>
      <protection locked="0"/>
    </xf>
    <xf numFmtId="49" fontId="15" fillId="10" borderId="63" xfId="0" applyNumberFormat="1" applyFont="1" applyFill="1" applyBorder="1" applyAlignment="1" applyProtection="1">
      <alignment horizontal="left" vertical="center"/>
      <protection locked="0"/>
    </xf>
    <xf numFmtId="49" fontId="15" fillId="10" borderId="64" xfId="0" applyNumberFormat="1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표준" xfId="0" builtinId="0"/>
    <cellStyle name="하이퍼링크" xfId="1" builtinId="8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22860</xdr:rowOff>
        </xdr:from>
        <xdr:to>
          <xdr:col>1</xdr:col>
          <xdr:colOff>1325880</xdr:colOff>
          <xdr:row>9</xdr:row>
          <xdr:rowOff>182880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182880</xdr:rowOff>
        </xdr:from>
        <xdr:to>
          <xdr:col>1</xdr:col>
          <xdr:colOff>1318260</xdr:colOff>
          <xdr:row>11</xdr:row>
          <xdr:rowOff>22860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7620</xdr:rowOff>
        </xdr:from>
        <xdr:to>
          <xdr:col>1</xdr:col>
          <xdr:colOff>1318260</xdr:colOff>
          <xdr:row>11</xdr:row>
          <xdr:rowOff>175260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22860</xdr:rowOff>
        </xdr:from>
        <xdr:to>
          <xdr:col>2</xdr:col>
          <xdr:colOff>861060</xdr:colOff>
          <xdr:row>13</xdr:row>
          <xdr:rowOff>175260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426720</xdr:rowOff>
        </xdr:from>
        <xdr:to>
          <xdr:col>2</xdr:col>
          <xdr:colOff>1493520</xdr:colOff>
          <xdr:row>13</xdr:row>
          <xdr:rowOff>182880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541020</xdr:colOff>
          <xdr:row>89</xdr:row>
          <xdr:rowOff>160020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C15" sqref="C15"/>
    </sheetView>
  </sheetViews>
  <sheetFormatPr defaultColWidth="8.69921875" defaultRowHeight="18" customHeight="1"/>
  <cols>
    <col min="1" max="1" width="2.8984375" style="92" customWidth="1"/>
    <col min="2" max="2" width="20.59765625" style="92" customWidth="1"/>
    <col min="3" max="3" width="31.69921875" style="92" customWidth="1"/>
    <col min="4" max="5" width="2.59765625" style="102" customWidth="1"/>
    <col min="6" max="11" width="10.69921875" style="102" customWidth="1"/>
    <col min="12" max="19" width="8.69921875" style="102"/>
    <col min="20" max="16384" width="8.699218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242</v>
      </c>
      <c r="C3" s="171" t="s">
        <v>230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762</v>
      </c>
      <c r="E5" s="221" t="s">
        <v>637</v>
      </c>
      <c r="F5" s="233" t="s">
        <v>666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kai.kim@sgs.com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248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663</v>
      </c>
      <c r="C9" s="218" t="s">
        <v>664</v>
      </c>
      <c r="E9" s="226" t="s">
        <v>667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670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671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5" customHeight="1" thickBot="1">
      <c r="B13" s="216" t="s">
        <v>665</v>
      </c>
      <c r="E13" s="227" t="s">
        <v>668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662</v>
      </c>
      <c r="C14" s="209"/>
      <c r="E14" s="221" t="s">
        <v>637</v>
      </c>
      <c r="F14" s="233" t="s">
        <v>672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660</v>
      </c>
      <c r="C15" s="192"/>
      <c r="E15" s="221" t="s">
        <v>637</v>
      </c>
      <c r="F15" s="233" t="s">
        <v>673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661</v>
      </c>
      <c r="C16" s="169"/>
      <c r="E16" s="221" t="s">
        <v>637</v>
      </c>
      <c r="F16" s="233" t="s">
        <v>674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233</v>
      </c>
      <c r="C18" s="185" t="s">
        <v>687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243</v>
      </c>
      <c r="C19" s="187" t="s">
        <v>246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249</v>
      </c>
      <c r="C20" s="188" t="s">
        <v>688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252</v>
      </c>
      <c r="C21" s="187" t="s">
        <v>689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263</v>
      </c>
      <c r="C22" s="189" t="s">
        <v>690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45244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45060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45336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659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658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261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262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22860</xdr:rowOff>
                  </from>
                  <to>
                    <xdr:col>1</xdr:col>
                    <xdr:colOff>1325880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182880</xdr:rowOff>
                  </from>
                  <to>
                    <xdr:col>1</xdr:col>
                    <xdr:colOff>1318260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22860</xdr:colOff>
                    <xdr:row>11</xdr:row>
                    <xdr:rowOff>7620</xdr:rowOff>
                  </from>
                  <to>
                    <xdr:col>1</xdr:col>
                    <xdr:colOff>1318260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137160</xdr:colOff>
                    <xdr:row>13</xdr:row>
                    <xdr:rowOff>22860</xdr:rowOff>
                  </from>
                  <to>
                    <xdr:col>2</xdr:col>
                    <xdr:colOff>861060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426720</xdr:rowOff>
                  </from>
                  <to>
                    <xdr:col>2</xdr:col>
                    <xdr:colOff>1493520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topLeftCell="C1" zoomScaleNormal="100" workbookViewId="0">
      <pane ySplit="4" topLeftCell="A20" activePane="bottomLeft" state="frozen"/>
      <selection pane="bottomLeft" activeCell="F27" sqref="F27"/>
    </sheetView>
  </sheetViews>
  <sheetFormatPr defaultColWidth="8.69921875" defaultRowHeight="13.95" customHeight="1"/>
  <cols>
    <col min="1" max="1" width="3.3984375" style="81" customWidth="1"/>
    <col min="2" max="2" width="2.19921875" style="2" customWidth="1"/>
    <col min="3" max="3" width="29.19921875" style="2" customWidth="1"/>
    <col min="4" max="4" width="47.69921875" style="2" customWidth="1"/>
    <col min="5" max="5" width="13.19921875" style="1" customWidth="1"/>
    <col min="6" max="6" width="9.09765625" style="1" customWidth="1"/>
    <col min="7" max="7" width="16.19921875" style="1" customWidth="1"/>
    <col min="8" max="8" width="12.5" style="1" customWidth="1"/>
    <col min="9" max="9" width="3.3984375" style="1" customWidth="1"/>
    <col min="10" max="10" width="3.5" style="1" customWidth="1"/>
    <col min="11" max="11" width="58.09765625" style="1" customWidth="1"/>
    <col min="12" max="12" width="13.19921875" style="1" customWidth="1"/>
    <col min="13" max="13" width="9.09765625" style="1" customWidth="1"/>
    <col min="14" max="14" width="13.19921875" style="1" customWidth="1"/>
    <col min="15" max="15" width="9.09765625" style="1" customWidth="1"/>
    <col min="16" max="16" width="3.8984375" style="1" customWidth="1"/>
    <col min="17" max="26" width="8.69921875" style="1"/>
    <col min="27" max="27" width="0" style="1" hidden="1" customWidth="1"/>
    <col min="28" max="39" width="8.69921875" style="1"/>
    <col min="40" max="41" width="8.69921875" style="1" customWidth="1"/>
    <col min="42" max="42" width="8.69921875" style="1"/>
    <col min="43" max="43" width="8.69921875" style="1" customWidth="1"/>
    <col min="44" max="16384" width="8.69921875" style="1"/>
  </cols>
  <sheetData>
    <row r="1" spans="1:36" ht="13.95" customHeight="1">
      <c r="A1" s="79"/>
      <c r="B1" s="296" t="s">
        <v>232</v>
      </c>
      <c r="C1" s="296"/>
      <c r="D1" s="3"/>
      <c r="E1" s="4"/>
      <c r="F1" s="299"/>
      <c r="G1" s="299"/>
      <c r="H1" s="299"/>
      <c r="I1" s="4"/>
      <c r="J1" s="295" t="s">
        <v>13</v>
      </c>
      <c r="K1" s="295"/>
      <c r="L1" s="4"/>
      <c r="M1" s="4"/>
      <c r="N1" s="4"/>
      <c r="O1" s="4"/>
      <c r="P1" s="4"/>
    </row>
    <row r="2" spans="1:36" ht="13.95" customHeight="1">
      <c r="A2" s="79"/>
      <c r="B2" s="297"/>
      <c r="C2" s="297"/>
      <c r="D2" s="5"/>
      <c r="E2" s="6"/>
      <c r="F2" s="300"/>
      <c r="G2" s="300"/>
      <c r="H2" s="300"/>
      <c r="I2" s="4"/>
      <c r="J2" s="298"/>
      <c r="K2" s="298"/>
      <c r="L2" s="301" t="s">
        <v>319</v>
      </c>
      <c r="M2" s="283"/>
      <c r="N2" s="283" t="s">
        <v>320</v>
      </c>
      <c r="O2" s="284"/>
      <c r="P2" s="4"/>
    </row>
    <row r="3" spans="1:36" ht="13.95" customHeight="1">
      <c r="A3" s="79"/>
      <c r="B3" s="14"/>
      <c r="C3" s="18"/>
      <c r="D3" s="76"/>
      <c r="E3" s="74" t="s">
        <v>260</v>
      </c>
      <c r="F3" s="75" t="s">
        <v>254</v>
      </c>
      <c r="G3" s="74"/>
      <c r="H3" s="106" t="s">
        <v>313</v>
      </c>
      <c r="I3" s="4"/>
      <c r="J3" s="16"/>
      <c r="K3" s="18"/>
      <c r="L3" s="206" t="s">
        <v>260</v>
      </c>
      <c r="M3" s="207" t="s">
        <v>254</v>
      </c>
      <c r="N3" s="206" t="s">
        <v>260</v>
      </c>
      <c r="O3" s="207" t="s">
        <v>254</v>
      </c>
      <c r="P3" s="4"/>
      <c r="AA3" s="14"/>
    </row>
    <row r="4" spans="1:36" ht="13.95" customHeight="1">
      <c r="A4" s="79"/>
      <c r="B4" s="15"/>
      <c r="C4" s="77" t="s">
        <v>253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255</v>
      </c>
      <c r="I4" s="4"/>
      <c r="J4" s="17"/>
      <c r="K4" s="96" t="s">
        <v>256</v>
      </c>
      <c r="L4" s="204" t="s">
        <v>321</v>
      </c>
      <c r="M4" s="205" t="s">
        <v>322</v>
      </c>
      <c r="N4" s="204" t="s">
        <v>323</v>
      </c>
      <c r="O4" s="205" t="s">
        <v>324</v>
      </c>
      <c r="P4" s="4"/>
      <c r="AA4" s="15"/>
      <c r="AJ4" s="8"/>
    </row>
    <row r="5" spans="1:36" ht="13.95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5" customHeight="1">
      <c r="A6" s="80">
        <v>2</v>
      </c>
      <c r="B6" s="122" t="s">
        <v>701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5" customHeight="1">
      <c r="A7" s="80">
        <v>3</v>
      </c>
      <c r="B7" s="122"/>
      <c r="C7" s="123" t="s">
        <v>691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5" customHeight="1">
      <c r="A8" s="80">
        <v>4</v>
      </c>
      <c r="B8" s="122"/>
      <c r="C8" s="123" t="s">
        <v>520</v>
      </c>
      <c r="D8" s="57"/>
      <c r="E8" s="94">
        <v>45243</v>
      </c>
      <c r="F8" s="59">
        <v>742</v>
      </c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5" customHeight="1">
      <c r="A9" s="80">
        <v>5</v>
      </c>
      <c r="B9" s="122"/>
      <c r="C9" s="123" t="s">
        <v>692</v>
      </c>
      <c r="D9" s="57"/>
      <c r="E9" s="94">
        <v>45243</v>
      </c>
      <c r="F9" s="59">
        <v>748</v>
      </c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5" customHeight="1">
      <c r="A10" s="80">
        <v>6</v>
      </c>
      <c r="B10" s="122"/>
      <c r="C10" s="123" t="s">
        <v>487</v>
      </c>
      <c r="D10" s="57"/>
      <c r="E10" s="94">
        <v>45243</v>
      </c>
      <c r="F10" s="59">
        <v>854</v>
      </c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5" customHeight="1">
      <c r="A11" s="80">
        <v>7</v>
      </c>
      <c r="B11" s="122" t="s">
        <v>701</v>
      </c>
      <c r="C11" s="123" t="s">
        <v>693</v>
      </c>
      <c r="D11" s="57"/>
      <c r="E11" s="94">
        <v>45243</v>
      </c>
      <c r="F11" s="59">
        <v>924</v>
      </c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5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5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5" customHeight="1">
      <c r="A14" s="80">
        <v>10</v>
      </c>
      <c r="B14" s="122"/>
      <c r="C14" s="123" t="s">
        <v>694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5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5" customHeight="1">
      <c r="A16" s="80">
        <v>12</v>
      </c>
      <c r="B16" s="122" t="s">
        <v>701</v>
      </c>
      <c r="C16" s="123" t="s">
        <v>493</v>
      </c>
      <c r="D16" s="57"/>
      <c r="E16" s="94">
        <v>45243</v>
      </c>
      <c r="F16" s="59">
        <v>1024</v>
      </c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5" customHeight="1">
      <c r="A17" s="80">
        <v>13</v>
      </c>
      <c r="B17" s="122" t="s">
        <v>701</v>
      </c>
      <c r="C17" s="123" t="s">
        <v>695</v>
      </c>
      <c r="D17" s="57" t="s">
        <v>698</v>
      </c>
      <c r="E17" s="94">
        <v>45243</v>
      </c>
      <c r="F17" s="59">
        <v>1054</v>
      </c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5" customHeight="1">
      <c r="A18" s="80">
        <v>14</v>
      </c>
      <c r="B18" s="122" t="s">
        <v>701</v>
      </c>
      <c r="C18" s="123" t="s">
        <v>695</v>
      </c>
      <c r="D18" s="57" t="s">
        <v>699</v>
      </c>
      <c r="E18" s="94">
        <v>45243</v>
      </c>
      <c r="F18" s="59">
        <v>2012</v>
      </c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5" customHeight="1">
      <c r="A19" s="80">
        <v>15</v>
      </c>
      <c r="B19" s="122" t="s">
        <v>701</v>
      </c>
      <c r="C19" s="123" t="s">
        <v>695</v>
      </c>
      <c r="D19" s="57" t="s">
        <v>700</v>
      </c>
      <c r="E19" s="94">
        <v>45243</v>
      </c>
      <c r="F19" s="59">
        <v>1042</v>
      </c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5" customHeight="1">
      <c r="A20" s="80">
        <v>16</v>
      </c>
      <c r="B20" s="122"/>
      <c r="C20" s="123" t="s">
        <v>696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5" customHeight="1">
      <c r="A21" s="80">
        <v>17</v>
      </c>
      <c r="B21" s="122"/>
      <c r="C21" s="123" t="s">
        <v>458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5" customHeight="1">
      <c r="A22" s="80">
        <v>18</v>
      </c>
      <c r="B22" s="122" t="s">
        <v>701</v>
      </c>
      <c r="C22" s="123" t="s">
        <v>470</v>
      </c>
      <c r="D22" s="58" t="s">
        <v>699</v>
      </c>
      <c r="E22" s="94">
        <v>45244</v>
      </c>
      <c r="F22" s="59">
        <v>130</v>
      </c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5" customHeight="1">
      <c r="A23" s="80">
        <v>19</v>
      </c>
      <c r="B23" s="122" t="s">
        <v>701</v>
      </c>
      <c r="C23" s="123" t="s">
        <v>470</v>
      </c>
      <c r="D23" s="57" t="s">
        <v>700</v>
      </c>
      <c r="E23" s="94">
        <v>45243</v>
      </c>
      <c r="F23" s="59">
        <v>1924</v>
      </c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5" customHeight="1">
      <c r="A24" s="80">
        <v>20</v>
      </c>
      <c r="B24" s="122" t="s">
        <v>701</v>
      </c>
      <c r="C24" s="123" t="s">
        <v>470</v>
      </c>
      <c r="D24" s="57" t="s">
        <v>698</v>
      </c>
      <c r="E24" s="94">
        <v>45244</v>
      </c>
      <c r="F24" s="59">
        <v>742</v>
      </c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5" customHeight="1">
      <c r="A25" s="80">
        <v>21</v>
      </c>
      <c r="B25" s="122"/>
      <c r="C25" s="123" t="s">
        <v>697</v>
      </c>
      <c r="D25" s="57"/>
      <c r="E25" s="94"/>
      <c r="F25" s="59"/>
      <c r="G25" s="60"/>
      <c r="H25" s="203" t="str">
        <f t="shared" si="0"/>
        <v>-</v>
      </c>
      <c r="I25" s="4"/>
      <c r="J25" s="294" t="s">
        <v>359</v>
      </c>
      <c r="K25" s="294"/>
      <c r="L25" s="4"/>
      <c r="M25" s="4"/>
      <c r="N25" s="4"/>
      <c r="O25" s="4"/>
      <c r="P25" s="4"/>
      <c r="AA25" s="101">
        <f t="shared" si="1"/>
        <v>0</v>
      </c>
    </row>
    <row r="26" spans="1:27" ht="13.95" customHeight="1">
      <c r="A26" s="80">
        <v>22</v>
      </c>
      <c r="B26" s="122" t="s">
        <v>701</v>
      </c>
      <c r="C26" s="123" t="s">
        <v>494</v>
      </c>
      <c r="D26" s="57"/>
      <c r="E26" s="94">
        <v>45244</v>
      </c>
      <c r="F26" s="59">
        <v>812</v>
      </c>
      <c r="G26" s="60"/>
      <c r="H26" s="203" t="str">
        <f t="shared" si="0"/>
        <v/>
      </c>
      <c r="I26" s="4"/>
      <c r="J26" s="295"/>
      <c r="K26" s="295"/>
      <c r="L26" s="4"/>
      <c r="M26" s="4"/>
      <c r="N26" s="4"/>
      <c r="O26" s="4"/>
      <c r="P26" s="4"/>
      <c r="AA26" s="101">
        <f t="shared" si="1"/>
        <v>1</v>
      </c>
    </row>
    <row r="27" spans="1:27" ht="13.95" customHeight="1">
      <c r="A27" s="80">
        <v>23</v>
      </c>
      <c r="B27" s="122"/>
      <c r="C27" s="123" t="s">
        <v>466</v>
      </c>
      <c r="D27" s="57"/>
      <c r="E27" s="94"/>
      <c r="F27" s="59"/>
      <c r="G27" s="60"/>
      <c r="H27" s="203" t="str">
        <f t="shared" si="0"/>
        <v>-</v>
      </c>
      <c r="I27" s="4"/>
      <c r="J27" s="285"/>
      <c r="K27" s="286"/>
      <c r="L27" s="286"/>
      <c r="M27" s="286"/>
      <c r="N27" s="286"/>
      <c r="O27" s="287"/>
      <c r="P27" s="4"/>
      <c r="AA27" s="101">
        <f t="shared" si="1"/>
        <v>0</v>
      </c>
    </row>
    <row r="28" spans="1:27" ht="13.95" customHeight="1">
      <c r="A28" s="80">
        <v>24</v>
      </c>
      <c r="B28" s="122"/>
      <c r="C28" s="123" t="s">
        <v>457</v>
      </c>
      <c r="D28" s="57"/>
      <c r="E28" s="94"/>
      <c r="F28" s="59"/>
      <c r="G28" s="60"/>
      <c r="H28" s="203" t="str">
        <f t="shared" si="0"/>
        <v>-</v>
      </c>
      <c r="I28" s="4"/>
      <c r="J28" s="288"/>
      <c r="K28" s="289"/>
      <c r="L28" s="289"/>
      <c r="M28" s="289"/>
      <c r="N28" s="289"/>
      <c r="O28" s="290"/>
      <c r="P28" s="4"/>
      <c r="AA28" s="101">
        <f t="shared" si="1"/>
        <v>0</v>
      </c>
    </row>
    <row r="29" spans="1:27" ht="13.95" customHeight="1">
      <c r="A29" s="80">
        <v>25</v>
      </c>
      <c r="B29" s="122"/>
      <c r="C29" s="123" t="s">
        <v>518</v>
      </c>
      <c r="D29" s="57"/>
      <c r="E29" s="94"/>
      <c r="F29" s="59"/>
      <c r="G29" s="60"/>
      <c r="H29" s="203" t="str">
        <f t="shared" si="0"/>
        <v>-</v>
      </c>
      <c r="I29" s="4"/>
      <c r="J29" s="288"/>
      <c r="K29" s="289"/>
      <c r="L29" s="289"/>
      <c r="M29" s="289"/>
      <c r="N29" s="289"/>
      <c r="O29" s="290"/>
      <c r="P29" s="4"/>
      <c r="AA29" s="101">
        <f t="shared" si="1"/>
        <v>0</v>
      </c>
    </row>
    <row r="30" spans="1:27" ht="13.95" customHeight="1">
      <c r="A30" s="80">
        <v>26</v>
      </c>
      <c r="B30" s="122" t="s">
        <v>701</v>
      </c>
      <c r="C30" s="123" t="s">
        <v>553</v>
      </c>
      <c r="D30" s="57"/>
      <c r="E30" s="94">
        <v>45244</v>
      </c>
      <c r="F30" s="59">
        <v>1200</v>
      </c>
      <c r="G30" s="60"/>
      <c r="H30" s="203" t="str">
        <f t="shared" si="0"/>
        <v/>
      </c>
      <c r="I30" s="4"/>
      <c r="J30" s="288"/>
      <c r="K30" s="289"/>
      <c r="L30" s="289"/>
      <c r="M30" s="289"/>
      <c r="N30" s="289"/>
      <c r="O30" s="290"/>
      <c r="P30" s="4"/>
      <c r="AA30" s="101">
        <f t="shared" si="1"/>
        <v>1</v>
      </c>
    </row>
    <row r="31" spans="1:27" ht="13.95" customHeight="1">
      <c r="A31" s="80">
        <v>27</v>
      </c>
      <c r="B31" s="122"/>
      <c r="C31" s="123" t="s">
        <v>488</v>
      </c>
      <c r="D31" s="57"/>
      <c r="E31" s="94"/>
      <c r="F31" s="59"/>
      <c r="G31" s="60"/>
      <c r="H31" s="203" t="str">
        <f t="shared" si="0"/>
        <v>-</v>
      </c>
      <c r="I31" s="4"/>
      <c r="J31" s="288"/>
      <c r="K31" s="289"/>
      <c r="L31" s="289"/>
      <c r="M31" s="289"/>
      <c r="N31" s="289"/>
      <c r="O31" s="290"/>
      <c r="P31" s="4"/>
      <c r="AA31" s="101">
        <f t="shared" si="1"/>
        <v>0</v>
      </c>
    </row>
    <row r="32" spans="1:27" ht="13.95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88"/>
      <c r="K32" s="289"/>
      <c r="L32" s="289"/>
      <c r="M32" s="289"/>
      <c r="N32" s="289"/>
      <c r="O32" s="290"/>
      <c r="P32" s="4"/>
      <c r="AA32" s="101">
        <f t="shared" si="1"/>
        <v>0</v>
      </c>
    </row>
    <row r="33" spans="1:27" ht="13.95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88"/>
      <c r="K33" s="289"/>
      <c r="L33" s="289"/>
      <c r="M33" s="289"/>
      <c r="N33" s="289"/>
      <c r="O33" s="290"/>
      <c r="P33" s="4"/>
      <c r="AA33" s="101">
        <f t="shared" si="1"/>
        <v>0</v>
      </c>
    </row>
    <row r="34" spans="1:27" ht="13.95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91"/>
      <c r="K34" s="292"/>
      <c r="L34" s="292"/>
      <c r="M34" s="292"/>
      <c r="N34" s="292"/>
      <c r="O34" s="293"/>
      <c r="P34" s="4"/>
      <c r="AA34" s="101">
        <f t="shared" si="1"/>
        <v>0</v>
      </c>
    </row>
    <row r="35" spans="1:27" ht="13.95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5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5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5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5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5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5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5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5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5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5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5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5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5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5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5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5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5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5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5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5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5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5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5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5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5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5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5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5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5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5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5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5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5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5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5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5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>
      <selection activeCell="E13" sqref="E13"/>
    </sheetView>
  </sheetViews>
  <sheetFormatPr defaultColWidth="8.69921875" defaultRowHeight="15" customHeight="1"/>
  <cols>
    <col min="1" max="1" width="3.3984375" style="43" customWidth="1"/>
    <col min="2" max="2" width="32.69921875" style="43" customWidth="1"/>
    <col min="3" max="7" width="16.59765625" style="45" customWidth="1"/>
    <col min="8" max="9" width="3.3984375" style="43" customWidth="1"/>
    <col min="10" max="11" width="14" style="165" customWidth="1"/>
    <col min="12" max="12" width="4.69921875" style="165" customWidth="1"/>
    <col min="13" max="14" width="14" style="165" customWidth="1"/>
    <col min="15" max="15" width="3.3984375" style="165" customWidth="1"/>
    <col min="16" max="20" width="14" style="165" customWidth="1"/>
    <col min="21" max="21" width="3.3984375" style="165" customWidth="1"/>
    <col min="22" max="26" width="14" style="165" customWidth="1"/>
    <col min="27" max="27" width="3.3984375" style="165" customWidth="1"/>
    <col min="28" max="32" width="14" style="165" customWidth="1"/>
    <col min="33" max="33" width="3.3984375" style="165" customWidth="1"/>
    <col min="34" max="38" width="14" style="165" customWidth="1"/>
    <col min="39" max="39" width="3.3984375" style="165" customWidth="1"/>
    <col min="40" max="44" width="14" style="165" customWidth="1"/>
    <col min="45" max="45" width="3.3984375" style="165" customWidth="1"/>
    <col min="46" max="50" width="14" style="165" customWidth="1"/>
    <col min="51" max="51" width="3.3984375" style="165" customWidth="1"/>
    <col min="52" max="56" width="14" style="165" customWidth="1"/>
    <col min="57" max="57" width="3.3984375" style="165" customWidth="1"/>
    <col min="58" max="62" width="14" style="165" customWidth="1"/>
    <col min="63" max="16384" width="8.69921875" style="43"/>
  </cols>
  <sheetData>
    <row r="1" spans="1:78" ht="15" customHeight="1">
      <c r="A1" s="36"/>
      <c r="B1" s="296" t="s">
        <v>231</v>
      </c>
      <c r="C1" s="25"/>
      <c r="D1" s="25"/>
      <c r="E1" s="25"/>
      <c r="F1" s="25"/>
      <c r="G1" s="25"/>
      <c r="H1" s="36"/>
      <c r="J1" s="302" t="s">
        <v>635</v>
      </c>
      <c r="K1" s="303"/>
      <c r="L1" s="303"/>
      <c r="M1" s="303"/>
      <c r="N1" s="304"/>
    </row>
    <row r="2" spans="1:78" ht="15" customHeight="1">
      <c r="A2" s="36"/>
      <c r="B2" s="296"/>
      <c r="C2" s="25"/>
      <c r="D2" s="25"/>
      <c r="E2" s="164"/>
      <c r="F2" s="164"/>
      <c r="G2" s="25"/>
      <c r="H2" s="36"/>
      <c r="J2" s="193" t="s">
        <v>332</v>
      </c>
      <c r="K2" s="197">
        <v>37</v>
      </c>
      <c r="L2" s="251"/>
      <c r="M2" s="193" t="s">
        <v>331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331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332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>
        <v>45244</v>
      </c>
      <c r="D4" s="168" t="s">
        <v>314</v>
      </c>
      <c r="E4" s="25"/>
      <c r="F4" s="309" t="s">
        <v>813</v>
      </c>
      <c r="G4" s="310"/>
      <c r="H4" s="36"/>
    </row>
    <row r="5" spans="1:78" ht="15" customHeight="1">
      <c r="A5" s="36"/>
      <c r="B5" s="42" t="s">
        <v>224</v>
      </c>
      <c r="C5" s="46" t="s">
        <v>811</v>
      </c>
      <c r="D5" s="168" t="s">
        <v>226</v>
      </c>
      <c r="E5" s="25"/>
      <c r="F5" s="305" t="s">
        <v>820</v>
      </c>
      <c r="G5" s="306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 t="s">
        <v>818</v>
      </c>
      <c r="D6" s="168" t="s">
        <v>264</v>
      </c>
      <c r="E6" s="25"/>
      <c r="F6" s="307" t="str">
        <f>IF('Navarik 설정'!C22="","",'Navarik 설정'!C22)</f>
        <v>Gasoil 0.001%S</v>
      </c>
      <c r="G6" s="308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315</v>
      </c>
      <c r="C7" s="46" t="s">
        <v>819</v>
      </c>
      <c r="D7" s="168" t="s">
        <v>317</v>
      </c>
      <c r="E7" s="25"/>
      <c r="F7" s="61">
        <v>0.99939999999999996</v>
      </c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316</v>
      </c>
      <c r="C8" s="95">
        <v>45254</v>
      </c>
      <c r="D8" s="168" t="s">
        <v>318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>
        <f>IF(C12="","",C12)</f>
        <v>213798</v>
      </c>
      <c r="D11" s="31">
        <f t="shared" ref="D11" si="0">IF(D12="","",D12)</f>
        <v>33974.639999999999</v>
      </c>
      <c r="E11" s="30">
        <f>IF(E12="","",E12)</f>
        <v>27831</v>
      </c>
      <c r="F11" s="31">
        <f>IF(F12="","",F12)</f>
        <v>28277.7</v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>
        <v>213798</v>
      </c>
      <c r="D12" s="28">
        <v>33974.639999999999</v>
      </c>
      <c r="E12" s="27">
        <v>27831</v>
      </c>
      <c r="F12" s="28">
        <v>28277.7</v>
      </c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>
        <f>IF(C12="","",C12)</f>
        <v>213798</v>
      </c>
      <c r="D13" s="31">
        <f t="shared" ref="D13" si="1">IF(D12="","",D12)</f>
        <v>33974.639999999999</v>
      </c>
      <c r="E13" s="30">
        <f>IF(E12="","",E12)</f>
        <v>27831</v>
      </c>
      <c r="F13" s="31">
        <f>IF(F12="","",F12)</f>
        <v>28277.7</v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 t="s">
        <v>812</v>
      </c>
      <c r="D15" s="44"/>
      <c r="E15" s="198" t="s">
        <v>641</v>
      </c>
      <c r="F15" s="37" t="s">
        <v>199</v>
      </c>
      <c r="G15" s="26">
        <v>0.83330000000000004</v>
      </c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>
        <v>24.3</v>
      </c>
      <c r="D16" s="24" t="s">
        <v>754</v>
      </c>
      <c r="E16" s="199" t="s">
        <v>388</v>
      </c>
      <c r="F16" s="37" t="s">
        <v>200</v>
      </c>
      <c r="G16" s="33">
        <v>38.200000000000003</v>
      </c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675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339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>
        <f>IF(C25="","",C25)</f>
        <v>213762</v>
      </c>
      <c r="D24" s="160">
        <f>IF(D25="","",D25)</f>
        <v>33968.919000000002</v>
      </c>
      <c r="E24" s="161">
        <f t="shared" ref="E24" si="5">IF(E25="","",E25)</f>
        <v>27826.3</v>
      </c>
      <c r="F24" s="160">
        <f>IF(F25="","",F25)</f>
        <v>28272.9</v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>
        <v>213762</v>
      </c>
      <c r="D25" s="157">
        <v>33968.919000000002</v>
      </c>
      <c r="E25" s="158">
        <v>27826.3</v>
      </c>
      <c r="F25" s="157">
        <v>28272.9</v>
      </c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>
        <f>IF(C25="","",C25)</f>
        <v>213762</v>
      </c>
      <c r="D26" s="160">
        <f t="shared" ref="D26" si="6">IF(D25="","",D25)</f>
        <v>33968.919000000002</v>
      </c>
      <c r="E26" s="161">
        <f>IF(E25="","",E25)</f>
        <v>27826.3</v>
      </c>
      <c r="F26" s="160">
        <f>IF(F25="","",F25)</f>
        <v>28272.9</v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>6B</v>
      </c>
      <c r="D28" s="25"/>
      <c r="E28" s="25"/>
      <c r="F28" s="37" t="s">
        <v>199</v>
      </c>
      <c r="G28" s="99">
        <f>IF(G15="","",G15)</f>
        <v>0.83330000000000004</v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>
        <v>22.6</v>
      </c>
      <c r="D29" s="35" t="str">
        <f>IF(D16="","",D16)</f>
        <v>°C</v>
      </c>
      <c r="E29" s="25"/>
      <c r="F29" s="37" t="s">
        <v>200</v>
      </c>
      <c r="G29" s="100">
        <f>IF(G16="","",G16)</f>
        <v>38.200000000000003</v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°C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>
        <f>IF(OR(C12="",C25=""),"",C25-C12)</f>
        <v>-36</v>
      </c>
      <c r="D36" s="133">
        <f>IF(OR(D12="",D25=""),"",D25-D12)</f>
        <v>-5.7209999999977299</v>
      </c>
      <c r="E36" s="133">
        <f>IF(OR(E12="",E25=""),"",E25-E12)</f>
        <v>-4.7000000000007276</v>
      </c>
      <c r="F36" s="133">
        <f>IF(OR(F12="",F25=""),"",F25-F12)</f>
        <v>-4.7999999999992724</v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>
        <f>IF(OR(C12="",C25=""),"",C36/C12*100)</f>
        <v>-1.6838324025481997E-2</v>
      </c>
      <c r="D37" s="134">
        <f t="shared" ref="D37" si="7">IF(OR(D12="",D25=""),"",D36/D12*100)</f>
        <v>-1.6839030523937058E-2</v>
      </c>
      <c r="E37" s="134">
        <f>IF(OR(E12="",E25=""),"",E36/E12*100)</f>
        <v>-1.6887643275486787E-2</v>
      </c>
      <c r="F37" s="134">
        <f>IF(OR(F12="",F25=""),"",F36/F12*100)</f>
        <v>-1.6974506413178131E-2</v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 activeCell="H29" sqref="H29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 t="s">
        <v>306</v>
      </c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 t="s">
        <v>810</v>
      </c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257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 t="s">
        <v>763</v>
      </c>
      <c r="E7" s="126" t="s">
        <v>726</v>
      </c>
      <c r="F7" s="261"/>
      <c r="G7" s="20" t="s">
        <v>787</v>
      </c>
      <c r="H7" s="20" t="s">
        <v>814</v>
      </c>
      <c r="I7" s="262" t="s">
        <v>749</v>
      </c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702</v>
      </c>
      <c r="D8" s="260" t="s">
        <v>764</v>
      </c>
      <c r="E8" s="126" t="s">
        <v>727</v>
      </c>
      <c r="F8" s="261" t="s">
        <v>788</v>
      </c>
      <c r="G8" s="20" t="s">
        <v>789</v>
      </c>
      <c r="H8" s="20"/>
      <c r="I8" s="262" t="s">
        <v>749</v>
      </c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703</v>
      </c>
      <c r="D9" s="260" t="s">
        <v>765</v>
      </c>
      <c r="E9" s="126" t="s">
        <v>728</v>
      </c>
      <c r="F9" s="263"/>
      <c r="G9" s="20" t="s">
        <v>790</v>
      </c>
      <c r="H9" s="20"/>
      <c r="I9" s="262" t="s">
        <v>750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704</v>
      </c>
      <c r="D10" s="260" t="s">
        <v>765</v>
      </c>
      <c r="E10" s="126" t="s">
        <v>728</v>
      </c>
      <c r="F10" s="263"/>
      <c r="G10" s="20" t="s">
        <v>791</v>
      </c>
      <c r="H10" s="20"/>
      <c r="I10" s="19" t="s">
        <v>751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705</v>
      </c>
      <c r="D11" s="260" t="s">
        <v>766</v>
      </c>
      <c r="E11" s="126" t="s">
        <v>729</v>
      </c>
      <c r="F11" s="261"/>
      <c r="G11" s="20" t="s">
        <v>792</v>
      </c>
      <c r="H11" s="20"/>
      <c r="I11" s="262" t="s">
        <v>752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705</v>
      </c>
      <c r="D12" s="260" t="s">
        <v>766</v>
      </c>
      <c r="E12" s="126" t="s">
        <v>730</v>
      </c>
      <c r="F12" s="261"/>
      <c r="G12" s="20" t="s">
        <v>793</v>
      </c>
      <c r="H12" s="20"/>
      <c r="I12" s="262" t="s">
        <v>752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706</v>
      </c>
      <c r="D13" s="260" t="s">
        <v>767</v>
      </c>
      <c r="E13" s="126" t="s">
        <v>731</v>
      </c>
      <c r="F13" s="261" t="s">
        <v>788</v>
      </c>
      <c r="G13" s="20" t="s">
        <v>815</v>
      </c>
      <c r="H13" s="20"/>
      <c r="I13" s="262" t="s">
        <v>752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707</v>
      </c>
      <c r="D14" s="260" t="s">
        <v>768</v>
      </c>
      <c r="E14" s="126" t="s">
        <v>732</v>
      </c>
      <c r="F14" s="261" t="s">
        <v>788</v>
      </c>
      <c r="G14" s="20" t="s">
        <v>795</v>
      </c>
      <c r="H14" s="20"/>
      <c r="I14" s="262" t="s">
        <v>752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708</v>
      </c>
      <c r="D15" s="260" t="s">
        <v>769</v>
      </c>
      <c r="E15" s="126" t="s">
        <v>733</v>
      </c>
      <c r="F15" s="261"/>
      <c r="G15" s="20" t="s">
        <v>796</v>
      </c>
      <c r="H15" s="20"/>
      <c r="I15" s="262" t="s">
        <v>753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709</v>
      </c>
      <c r="D16" s="260" t="s">
        <v>770</v>
      </c>
      <c r="E16" s="126" t="s">
        <v>734</v>
      </c>
      <c r="F16" s="261"/>
      <c r="G16" s="20" t="s">
        <v>797</v>
      </c>
      <c r="H16" s="20"/>
      <c r="I16" s="262" t="s">
        <v>754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710</v>
      </c>
      <c r="D17" s="260" t="s">
        <v>771</v>
      </c>
      <c r="E17" s="126" t="s">
        <v>735</v>
      </c>
      <c r="F17" s="266"/>
      <c r="G17" s="267" t="s">
        <v>791</v>
      </c>
      <c r="H17" s="267"/>
      <c r="I17" s="262" t="s">
        <v>754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711</v>
      </c>
      <c r="D18" s="260" t="s">
        <v>772</v>
      </c>
      <c r="E18" s="264" t="s">
        <v>734</v>
      </c>
      <c r="F18" s="280" t="s">
        <v>822</v>
      </c>
      <c r="G18" s="281" t="s">
        <v>798</v>
      </c>
      <c r="H18" s="282"/>
      <c r="I18" s="265" t="s">
        <v>751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 t="s">
        <v>712</v>
      </c>
      <c r="D19" s="260" t="s">
        <v>773</v>
      </c>
      <c r="E19" s="126" t="s">
        <v>736</v>
      </c>
      <c r="F19" s="268"/>
      <c r="G19" s="269" t="s">
        <v>791</v>
      </c>
      <c r="H19" s="269" t="s">
        <v>799</v>
      </c>
      <c r="I19" s="19" t="s">
        <v>751</v>
      </c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 t="s">
        <v>713</v>
      </c>
      <c r="D20" s="260" t="s">
        <v>774</v>
      </c>
      <c r="E20" s="126" t="s">
        <v>737</v>
      </c>
      <c r="F20" s="261"/>
      <c r="G20" s="20" t="s">
        <v>800</v>
      </c>
      <c r="H20" s="20"/>
      <c r="I20" s="262" t="s">
        <v>755</v>
      </c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 t="s">
        <v>714</v>
      </c>
      <c r="D21" s="260" t="s">
        <v>775</v>
      </c>
      <c r="E21" s="126" t="s">
        <v>738</v>
      </c>
      <c r="F21" s="261"/>
      <c r="G21" s="20" t="s">
        <v>801</v>
      </c>
      <c r="H21" s="20"/>
      <c r="I21" s="262" t="s">
        <v>754</v>
      </c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 t="s">
        <v>786</v>
      </c>
      <c r="C22" s="62" t="s">
        <v>715</v>
      </c>
      <c r="D22" s="260" t="s">
        <v>776</v>
      </c>
      <c r="E22" s="126" t="s">
        <v>739</v>
      </c>
      <c r="F22" s="261"/>
      <c r="G22" s="20"/>
      <c r="H22" s="20" t="s">
        <v>652</v>
      </c>
      <c r="I22" s="19" t="s">
        <v>756</v>
      </c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 t="s">
        <v>716</v>
      </c>
      <c r="D23" s="260" t="s">
        <v>777</v>
      </c>
      <c r="E23" s="126" t="s">
        <v>740</v>
      </c>
      <c r="F23" s="261" t="s">
        <v>788</v>
      </c>
      <c r="G23" s="20" t="s">
        <v>802</v>
      </c>
      <c r="H23" s="20"/>
      <c r="I23" s="19" t="s">
        <v>757</v>
      </c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 t="s">
        <v>717</v>
      </c>
      <c r="D24" s="260" t="s">
        <v>778</v>
      </c>
      <c r="E24" s="126" t="s">
        <v>741</v>
      </c>
      <c r="F24" s="261"/>
      <c r="G24" s="20" t="s">
        <v>803</v>
      </c>
      <c r="H24" s="20"/>
      <c r="I24" s="262" t="s">
        <v>728</v>
      </c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 t="s">
        <v>718</v>
      </c>
      <c r="D25" s="260" t="s">
        <v>779</v>
      </c>
      <c r="E25" s="126" t="s">
        <v>742</v>
      </c>
      <c r="F25" s="261"/>
      <c r="G25" s="20" t="s">
        <v>804</v>
      </c>
      <c r="H25" s="20"/>
      <c r="I25" s="262" t="s">
        <v>754</v>
      </c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 t="s">
        <v>719</v>
      </c>
      <c r="D26" s="260" t="s">
        <v>780</v>
      </c>
      <c r="E26" s="126" t="s">
        <v>743</v>
      </c>
      <c r="F26" s="261" t="s">
        <v>788</v>
      </c>
      <c r="G26" s="20" t="s">
        <v>805</v>
      </c>
      <c r="H26" s="20"/>
      <c r="I26" s="19" t="s">
        <v>758</v>
      </c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 t="s">
        <v>720</v>
      </c>
      <c r="D27" s="260" t="s">
        <v>781</v>
      </c>
      <c r="E27" s="126" t="s">
        <v>744</v>
      </c>
      <c r="F27" s="261"/>
      <c r="G27" s="20" t="s">
        <v>806</v>
      </c>
      <c r="H27" s="20"/>
      <c r="I27" s="262" t="s">
        <v>759</v>
      </c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 t="s">
        <v>721</v>
      </c>
      <c r="D28" s="260" t="s">
        <v>782</v>
      </c>
      <c r="E28" s="126" t="s">
        <v>745</v>
      </c>
      <c r="F28" s="261"/>
      <c r="G28" s="20" t="s">
        <v>807</v>
      </c>
      <c r="H28" s="20"/>
      <c r="I28" s="262" t="s">
        <v>760</v>
      </c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 t="s">
        <v>722</v>
      </c>
      <c r="D29" s="260" t="s">
        <v>783</v>
      </c>
      <c r="E29" s="126" t="s">
        <v>746</v>
      </c>
      <c r="F29" s="261"/>
      <c r="G29" s="20" t="s">
        <v>808</v>
      </c>
      <c r="H29" s="20"/>
      <c r="I29" s="262" t="s">
        <v>758</v>
      </c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 t="s">
        <v>723</v>
      </c>
      <c r="D30" s="260" t="s">
        <v>784</v>
      </c>
      <c r="E30" s="126" t="s">
        <v>747</v>
      </c>
      <c r="F30" s="261"/>
      <c r="G30" s="20" t="s">
        <v>809</v>
      </c>
      <c r="H30" s="20"/>
      <c r="I30" s="262" t="s">
        <v>761</v>
      </c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 t="s">
        <v>724</v>
      </c>
      <c r="D31" s="271" t="s">
        <v>785</v>
      </c>
      <c r="E31" s="126" t="s">
        <v>748</v>
      </c>
      <c r="F31" s="261" t="s">
        <v>788</v>
      </c>
      <c r="G31" s="20" t="s">
        <v>794</v>
      </c>
      <c r="H31" s="20"/>
      <c r="I31" s="262" t="s">
        <v>757</v>
      </c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 t="s">
        <v>725</v>
      </c>
      <c r="D32" s="274" t="s">
        <v>821</v>
      </c>
      <c r="E32" s="270" t="s">
        <v>734</v>
      </c>
      <c r="F32" s="261"/>
      <c r="G32" s="20" t="s">
        <v>816</v>
      </c>
      <c r="H32" s="267"/>
      <c r="I32" s="262" t="s">
        <v>758</v>
      </c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 t="s">
        <v>725</v>
      </c>
      <c r="D33" s="275" t="s">
        <v>821</v>
      </c>
      <c r="E33" s="270" t="s">
        <v>734</v>
      </c>
      <c r="F33" s="261"/>
      <c r="G33" s="273" t="s">
        <v>817</v>
      </c>
      <c r="H33" s="277" t="s">
        <v>654</v>
      </c>
      <c r="I33" s="265" t="s">
        <v>758</v>
      </c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 t="s">
        <v>725</v>
      </c>
      <c r="D34" s="275" t="s">
        <v>821</v>
      </c>
      <c r="E34" s="270" t="s">
        <v>734</v>
      </c>
      <c r="F34" s="261"/>
      <c r="G34" s="273" t="s">
        <v>817</v>
      </c>
      <c r="H34" s="278" t="s">
        <v>654</v>
      </c>
      <c r="I34" s="265" t="s">
        <v>758</v>
      </c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 t="s">
        <v>725</v>
      </c>
      <c r="D35" s="275" t="s">
        <v>821</v>
      </c>
      <c r="E35" s="270" t="s">
        <v>734</v>
      </c>
      <c r="F35" s="261"/>
      <c r="G35" s="273" t="s">
        <v>817</v>
      </c>
      <c r="H35" s="278" t="s">
        <v>653</v>
      </c>
      <c r="I35" s="265" t="s">
        <v>758</v>
      </c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 t="s">
        <v>725</v>
      </c>
      <c r="D36" s="276" t="s">
        <v>821</v>
      </c>
      <c r="E36" s="270" t="s">
        <v>734</v>
      </c>
      <c r="F36" s="261"/>
      <c r="G36" s="273" t="s">
        <v>817</v>
      </c>
      <c r="H36" s="279" t="s">
        <v>654</v>
      </c>
      <c r="I36" s="265" t="s">
        <v>758</v>
      </c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272"/>
      <c r="E37" s="126"/>
      <c r="F37" s="190"/>
      <c r="G37" s="20"/>
      <c r="H37" s="269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11"/>
      <c r="G85" s="311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48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8" xr:uid="{4DD64C67-E70B-4D0C-BD39-6EF6B6F55F84}">
      <formula1>"* ,[IP] IP 139,[ASTM] D664,[ASTM] D974"</formula1>
    </dataValidation>
    <dataValidation type="list" allowBlank="1" showInputMessage="1" showErrorMessage="1" sqref="D9 D10" xr:uid="{5E43B788-E824-48F5-8A3A-6D731AB9CF4A}">
      <formula1>"* ,[ASTM] D4176 Procedure 2"</formula1>
    </dataValidation>
    <dataValidation type="list" allowBlank="1" showInputMessage="1" showErrorMessage="1" sqref="D11 D12" xr:uid="{BB01F851-C758-4610-86CF-B051EE66C954}">
      <formula1>"* ,[IP] IP 391"</formula1>
    </dataValidation>
    <dataValidation type="list" allowBlank="1" showInputMessage="1" showErrorMessage="1" sqref="D13" xr:uid="{7DE2B0BC-808B-4BB6-AE5B-31F1DE82232A}">
      <formula1>"* ,[IP] IP 4,[ASTM] D482"</formula1>
    </dataValidation>
    <dataValidation type="list" allowBlank="1" showInputMessage="1" showErrorMessage="1" sqref="D14" xr:uid="{ACAAE18D-7BF9-4833-86EB-234A5F42326E}">
      <formula1>"* ,[ASTM] D189,[ASTM] D4530"</formula1>
    </dataValidation>
    <dataValidation type="list" allowBlank="1" showInputMessage="1" showErrorMessage="1" sqref="D15" xr:uid="{C8C557AF-AC8D-4E64-9031-62EC52CFB72E}">
      <formula1>"* ,[ASTM] D4737"</formula1>
    </dataValidation>
    <dataValidation type="list" allowBlank="1" showInputMessage="1" showErrorMessage="1" sqref="D16" xr:uid="{928AEAC0-ADBC-4060-ADC8-FB2598DA2781}">
      <formula1>"* ,[IP] IP 309"</formula1>
    </dataValidation>
    <dataValidation type="list" allowBlank="1" showInputMessage="1" showErrorMessage="1" sqref="D17" xr:uid="{5639A01B-5D8B-47E7-8FB6-90D3134D0D1E}">
      <formula1>"* ,[ASTM] D5773,[ASTM] D2500,[IP] IP 219,[ASTM] D5771"</formula1>
    </dataValidation>
    <dataValidation type="list" allowBlank="1" showInputMessage="1" showErrorMessage="1" sqref="D18" xr:uid="{7B5DC5FB-C988-4B30-BB2D-BA292E04C841}">
      <formula1>"* ,[ASTM] D6045,[ASTM] D1500,[IP] IP 196"</formula1>
    </dataValidation>
    <dataValidation type="list" allowBlank="1" showInputMessage="1" showErrorMessage="1" sqref="D19" xr:uid="{1294ACE4-763C-42A0-ACBA-633C94DC66C2}">
      <formula1>"* ,[ASTM] D130,[IP] IP 154"</formula1>
    </dataValidation>
    <dataValidation type="list" allowBlank="1" showInputMessage="1" showErrorMessage="1" sqref="D20" xr:uid="{53B133B3-6FBD-4F94-9052-163FF65872A2}">
      <formula1>"* ,[ASTM] D1298,[ASTM] D4052"</formula1>
    </dataValidation>
    <dataValidation type="list" allowBlank="1" showInputMessage="1" showErrorMessage="1" sqref="D21" xr:uid="{6F0B817A-B8A9-4CA8-BCE4-C7E5B7269467}">
      <formula1>"* ,[ASTM] D86,[IP] IP 123"</formula1>
    </dataValidation>
    <dataValidation type="list" allowBlank="1" showInputMessage="1" showErrorMessage="1" sqref="D22" xr:uid="{8C7AE9BC-709E-4186-8DF2-C9DF4C145CBD}">
      <formula1>"* ,[ASTM] D2624"</formula1>
    </dataValidation>
    <dataValidation type="list" allowBlank="1" showInputMessage="1" showErrorMessage="1" sqref="D23" xr:uid="{C942EB1A-CF02-4C04-9832-EF2D970DE324}">
      <formula1>"* ,[EN] EN 14078"</formula1>
    </dataValidation>
    <dataValidation type="list" allowBlank="1" showInputMessage="1" showErrorMessage="1" sqref="D24" xr:uid="{A2F052D5-A779-472B-A667-F58B1B50FEFA}">
      <formula1>"* ,[IP] IP 387,[ASTM] D2068"</formula1>
    </dataValidation>
    <dataValidation type="list" allowBlank="1" showInputMessage="1" showErrorMessage="1" sqref="D25" xr:uid="{DCBA0CB6-5EE5-4969-B0CE-F6298FB9C5B3}">
      <formula1>"* ,[ASTM] D93"</formula1>
    </dataValidation>
    <dataValidation type="list" allowBlank="1" showInputMessage="1" showErrorMessage="1" sqref="D26" xr:uid="{131A1BA0-4974-49A3-AFFD-16DF16020F96}">
      <formula1>"* ,[IP] IP 570 - Procedure A"</formula1>
    </dataValidation>
    <dataValidation type="list" allowBlank="1" showInputMessage="1" showErrorMessage="1" sqref="D27" xr:uid="{92D79ED3-79E7-43BB-997A-01BE3E1AAAE8}">
      <formula1>"* ,[IP] IP 450"</formula1>
    </dataValidation>
    <dataValidation type="list" allowBlank="1" showInputMessage="1" showErrorMessage="1" sqref="D28" xr:uid="{0F6ECE89-2A8E-498E-B6EF-49FE78C3023A}">
      <formula1>"* ,[ASTM] D2274"</formula1>
    </dataValidation>
    <dataValidation type="list" allowBlank="1" showInputMessage="1" showErrorMessage="1" sqref="D29" xr:uid="{3DD12510-708A-4D4F-9A8F-16F9501618D6}">
      <formula1>"* ,[ASTM] D2622,[ASTM] D5453"</formula1>
    </dataValidation>
    <dataValidation type="list" allowBlank="1" showInputMessage="1" showErrorMessage="1" sqref="D30" xr:uid="{5FF267FB-A76E-4D0F-A23E-CC1D1CBB9AF5}">
      <formula1>"* ,[IP] IP 71 Section 1,[ASTM] D445"</formula1>
    </dataValidation>
    <dataValidation type="list" allowBlank="1" showInputMessage="1" showErrorMessage="1" sqref="D31" xr:uid="{1C2D634D-EF57-4444-9A24-2F8E66E7A1C6}">
      <formula1>"* ,[ASTM] D2709"</formula1>
    </dataValidation>
    <dataValidation type="list" allowBlank="1" showInputMessage="1" showErrorMessage="1" sqref="D32 D33 D34 D35 D36" xr:uid="{6C0E83E1-8994-4195-8BD5-3DFB1EAE9791}">
      <formula1>"* ,[OTHER] Additives (declaration)"</formula1>
    </dataValidation>
    <dataValidation type="list" allowBlank="1" showInputMessage="1" showErrorMessage="1" sqref="I7 I8" xr:uid="{49C580CC-A355-40AB-9CD8-AD6F4CC29A1E}">
      <formula1>"mg KOH/g,mg NaOH/100ml,mg NaOH/g,mg/kg,mg/l"</formula1>
    </dataValidation>
    <dataValidation type="list" allowBlank="1" showInputMessage="1" showErrorMessage="1" sqref="I9" xr:uid="{B7EB7B9D-475F-4EC1-922E-95F760318A22}">
      <formula1>"haze no,n/a,pass/fail,rating,visual"</formula1>
    </dataValidation>
    <dataValidation type="list" allowBlank="1" showInputMessage="1" showErrorMessage="1" sqref="I10 I19" xr:uid="{ACE35CFD-6D10-4DEE-9A96-8A850A23D18D}">
      <formula1>"rating"</formula1>
    </dataValidation>
    <dataValidation type="list" allowBlank="1" showInputMessage="1" showErrorMessage="1" sqref="I11 I12" xr:uid="{69802B5E-2274-4704-B90A-EFF10D0EE134}">
      <formula1>"ppm,%liq vol,%m/m,%mole,%wt,%vol"</formula1>
    </dataValidation>
    <dataValidation type="list" allowBlank="1" showInputMessage="1" showErrorMessage="1" sqref="I13" xr:uid="{D9B7339D-C244-462E-B966-6C92FBE2C775}">
      <formula1>"ppm w/w,%m,%m/m,%wt"</formula1>
    </dataValidation>
    <dataValidation type="list" allowBlank="1" showInputMessage="1" showErrorMessage="1" sqref="I14" xr:uid="{835D5720-2D49-4965-AB3A-C9286503765A}">
      <formula1>"LT,MT (Vac),%m/m,%wt"</formula1>
    </dataValidation>
    <dataValidation type="list" allowBlank="1" showInputMessage="1" showErrorMessage="1" sqref="I15" xr:uid="{F2925256-3611-4F02-8694-E3199ED27438}">
      <formula1>"calc,rating"</formula1>
    </dataValidation>
    <dataValidation type="list" allowBlank="1" showInputMessage="1" showErrorMessage="1" sqref="I16 I17 I25" xr:uid="{08CAEAAA-3E85-4642-A187-9F3C4FE14DF2}">
      <formula1>"°C,°F"</formula1>
    </dataValidation>
    <dataValidation type="list" allowBlank="1" showInputMessage="1" showErrorMessage="1" sqref="I18" xr:uid="{A064CD4D-8498-4D04-A830-F8D945CC2101}">
      <formula1>"haze no,pass/fail,rating,visual"</formula1>
    </dataValidation>
    <dataValidation type="list" allowBlank="1" showInputMessage="1" showErrorMessage="1" sqref="I20" xr:uid="{F0624DC3-67E0-40D7-8F5A-4ED84A45A306}">
      <formula1>"g/ cc,g/l,g/cm³,g/ml,kg/m³,kg/l,n/a,tonne/m³"</formula1>
    </dataValidation>
    <dataValidation type="list" allowBlank="1" showInputMessage="1" showErrorMessage="1" sqref="I21" xr:uid="{072BABB8-7CFF-4727-8094-F6E516C302B1}">
      <formula1>"°C,°F,%,%vol"</formula1>
    </dataValidation>
    <dataValidation type="list" allowBlank="1" showInputMessage="1" showErrorMessage="1" sqref="I22" xr:uid="{C7D61BA2-A749-4960-8E27-EC184E83472B}">
      <formula1>"pS/m"</formula1>
    </dataValidation>
    <dataValidation type="list" allowBlank="1" showInputMessage="1" showErrorMessage="1" sqref="I23" xr:uid="{8335FF79-1378-43CF-94CA-2F5FC59F03BB}">
      <formula1>"%vol"</formula1>
    </dataValidation>
    <dataValidation type="list" allowBlank="1" showInputMessage="1" showErrorMessage="1" sqref="I24" xr:uid="{91186E2B-5AD8-4E00-8CDC-3FACFDC10073}">
      <formula1>"°C,°F,kPa,ml,n/a"</formula1>
    </dataValidation>
    <dataValidation type="list" allowBlank="1" showInputMessage="1" showErrorMessage="1" sqref="I26" xr:uid="{8BCB96A7-CD90-409D-B8B8-A019EF1BD191}">
      <formula1>"mg/kg"</formula1>
    </dataValidation>
    <dataValidation type="list" allowBlank="1" showInputMessage="1" showErrorMessage="1" sqref="I27" xr:uid="{4369A922-E950-49FC-B715-28FD697A6C24}">
      <formula1>"°C,μm,mm"</formula1>
    </dataValidation>
    <dataValidation type="list" allowBlank="1" showInputMessage="1" showErrorMessage="1" sqref="I28" xr:uid="{B0089627-5436-435F-BDF3-9957F1B40FD6}">
      <formula1>"g/cm³,g/m³,hrs,kg/m³,mg/100ml,mg/l,mins,rating"</formula1>
    </dataValidation>
    <dataValidation type="list" allowBlank="1" showInputMessage="1" showErrorMessage="1" sqref="I29" xr:uid="{518B32BF-0A1F-4086-9CAC-3F066DDAAC58}">
      <formula1>"μg/g,mg/kg,mg/l,ppm,%m,%m/m,%wt"</formula1>
    </dataValidation>
    <dataValidation type="list" allowBlank="1" showInputMessage="1" showErrorMessage="1" sqref="I30" xr:uid="{DF7955D0-A23E-4B0D-8532-72AE57EF9DED}">
      <formula1>"cSt,Engler,mm²/s,Pa·s,SUS"</formula1>
    </dataValidation>
    <dataValidation type="list" allowBlank="1" showInputMessage="1" showErrorMessage="1" sqref="I31" xr:uid="{9353A76F-02E2-46DD-8FB0-848EEBB01933}">
      <formula1>"%wt,%vol"</formula1>
    </dataValidation>
    <dataValidation type="list" allowBlank="1" showInputMessage="1" showErrorMessage="1" sqref="I32 I33 I34 I35 I36" xr:uid="{644BE3EA-EE95-4CC5-9F38-121E8F0E6C89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3DD71892-D900-4710-AC4B-E5AC1C785A42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7C407-BABD-44C1-A013-ADF8D9ED176B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 t="s">
        <v>302</v>
      </c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/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703</v>
      </c>
      <c r="D7" s="260"/>
      <c r="E7" s="126" t="s">
        <v>728</v>
      </c>
      <c r="F7" s="263"/>
      <c r="G7" s="20"/>
      <c r="H7" s="20"/>
      <c r="I7" s="262" t="s">
        <v>750</v>
      </c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704</v>
      </c>
      <c r="D8" s="260"/>
      <c r="E8" s="126" t="s">
        <v>728</v>
      </c>
      <c r="F8" s="263"/>
      <c r="G8" s="20"/>
      <c r="H8" s="20"/>
      <c r="I8" s="19" t="s">
        <v>751</v>
      </c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711</v>
      </c>
      <c r="D9" s="260"/>
      <c r="E9" s="126" t="s">
        <v>734</v>
      </c>
      <c r="F9" s="261"/>
      <c r="G9" s="20"/>
      <c r="H9" s="20"/>
      <c r="I9" s="262" t="s">
        <v>751</v>
      </c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 t="s">
        <v>713</v>
      </c>
      <c r="D10" s="260"/>
      <c r="E10" s="126" t="s">
        <v>737</v>
      </c>
      <c r="F10" s="261"/>
      <c r="G10" s="20"/>
      <c r="H10" s="20"/>
      <c r="I10" s="262" t="s">
        <v>755</v>
      </c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 t="s">
        <v>718</v>
      </c>
      <c r="D11" s="260"/>
      <c r="E11" s="126" t="s">
        <v>742</v>
      </c>
      <c r="F11" s="261"/>
      <c r="G11" s="20"/>
      <c r="H11" s="20"/>
      <c r="I11" s="262" t="s">
        <v>754</v>
      </c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 t="s">
        <v>717</v>
      </c>
      <c r="D12" s="260"/>
      <c r="E12" s="126" t="s">
        <v>741</v>
      </c>
      <c r="F12" s="261"/>
      <c r="G12" s="20"/>
      <c r="H12" s="20"/>
      <c r="I12" s="262" t="s">
        <v>728</v>
      </c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11"/>
      <c r="G85" s="31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15">
    <dataValidation type="list" allowBlank="1" showInputMessage="1" showErrorMessage="1" sqref="F2" xr:uid="{D9E12414-4293-4D4C-B7AA-5CDC9FA118EF}">
      <formula1>"1, 2, 3, 4, 5, 6, 7, 8, 9, 10, 11, 12, 13, 14, 15, 16, 17"</formula1>
    </dataValidation>
    <dataValidation type="list" allowBlank="1" showInputMessage="1" showErrorMessage="1" sqref="B7:B82" xr:uid="{4D1DC0C8-6452-4967-A28A-A3F8CE2F59F5}">
      <formula1>"v"</formula1>
    </dataValidation>
    <dataValidation type="list" allowBlank="1" showInputMessage="1" showErrorMessage="1" sqref="BP7:BP82 AV7:AV82 BL7:BL82 BT7:BT82 BH7:BH82 BD7:BD82 AZ7:AZ82" xr:uid="{DE5EE6BC-1696-4CE7-A388-E8DA888435C5}">
      <formula1>"&lt;, &lt;=, &gt;, &gt;=, ="</formula1>
    </dataValidation>
    <dataValidation type="list" allowBlank="1" showInputMessage="1" showErrorMessage="1" sqref="D7 D8" xr:uid="{1E82F195-02E8-41EA-BFAF-445988C44229}">
      <formula1>"* ,[ASTM] D4176 Procedure 2"</formula1>
    </dataValidation>
    <dataValidation type="list" allowBlank="1" showInputMessage="1" showErrorMessage="1" sqref="D9" xr:uid="{35B7661A-5CB2-42DE-92AC-70F6EF88B116}">
      <formula1>"* ,[ASTM] D6045,[IP] IP 196,[ASTM] D1500"</formula1>
    </dataValidation>
    <dataValidation type="list" allowBlank="1" showInputMessage="1" showErrorMessage="1" sqref="D10" xr:uid="{593D9407-C705-4B13-85F0-D61AAD668767}">
      <formula1>"* ,[ASTM] D4052,[ASTM] D1298"</formula1>
    </dataValidation>
    <dataValidation type="list" allowBlank="1" showInputMessage="1" showErrorMessage="1" sqref="D11" xr:uid="{08562D25-2D8D-400F-A120-68EA2A147E6D}">
      <formula1>"* ,[ASTM] D93"</formula1>
    </dataValidation>
    <dataValidation type="list" allowBlank="1" showInputMessage="1" showErrorMessage="1" sqref="D12" xr:uid="{F0D8EF12-77C3-4D8B-8C11-2AA50504C200}">
      <formula1>"* ,[ASTM] D2068,[IP] IP 387"</formula1>
    </dataValidation>
    <dataValidation type="list" allowBlank="1" showInputMessage="1" showErrorMessage="1" sqref="I7" xr:uid="{8C3F4E80-BC8C-48E0-94DD-4FD11232216B}">
      <formula1>"haze no,n/a,pass/fail,rating,visual"</formula1>
    </dataValidation>
    <dataValidation type="list" allowBlank="1" showInputMessage="1" showErrorMessage="1" sqref="I8" xr:uid="{117A76F3-3E43-4D88-95D9-E6EB02D27B48}">
      <formula1>"rating"</formula1>
    </dataValidation>
    <dataValidation type="list" allowBlank="1" showInputMessage="1" showErrorMessage="1" sqref="I9" xr:uid="{ECA4BDF6-A237-4237-9E58-23D6E14803A0}">
      <formula1>"haze no,pass/fail,rating,visual"</formula1>
    </dataValidation>
    <dataValidation type="list" allowBlank="1" showInputMessage="1" showErrorMessage="1" sqref="I10" xr:uid="{476A27F1-804A-48F8-805B-B27348122282}">
      <formula1>"g/cm³,g/ml,kg/m³,kg/l,n/a,tonne/m³,g/l,g/ cc"</formula1>
    </dataValidation>
    <dataValidation type="list" allowBlank="1" showInputMessage="1" showErrorMessage="1" sqref="I11" xr:uid="{9CC4F253-6594-4E23-AE14-0DB5CAC7A5FD}">
      <formula1>"°C,°F"</formula1>
    </dataValidation>
    <dataValidation type="list" allowBlank="1" showInputMessage="1" showErrorMessage="1" sqref="I12" xr:uid="{8E121CF7-3A6C-4435-A231-52044615E8E4}">
      <formula1>"°C,°F,kPa,ml,n/a"</formula1>
    </dataValidation>
    <dataValidation type="list" allowBlank="1" showInputMessage="1" showErrorMessage="1" sqref="F9 F10 F11 F12" xr:uid="{BDCB8C16-EB16-4CC9-B529-77FF7A0E6B99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F1A6498-A9AF-4207-AC9D-081EDFBAD91E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B572BED7-9AEB-4940-8D85-E1E5CBAC2F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67F2-36DA-4A83-A429-C7322C8BF41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/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/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11"/>
      <c r="G85" s="31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4306032B-6002-43E9-82F3-BF855925996F}">
      <formula1>"&lt;, &lt;=, &gt;, &gt;=, ="</formula1>
    </dataValidation>
    <dataValidation type="list" allowBlank="1" showInputMessage="1" showErrorMessage="1" sqref="B7:B82" xr:uid="{C2491EE8-4795-43D9-872D-2B228E24D340}">
      <formula1>"v"</formula1>
    </dataValidation>
    <dataValidation type="list" allowBlank="1" showInputMessage="1" showErrorMessage="1" sqref="F2" xr:uid="{716B73DE-E8C9-4AAA-9F92-4560F0EA10A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CEBAAB-A96B-43A6-A28D-8A63C6CFE5BC}">
          <x14:formula1>
            <xm:f>Sheet3!$A$2:$A$49</xm:f>
          </x14:formula1>
          <xm:sqref>F3</xm:sqref>
        </x14:dataValidation>
        <x14:dataValidation type="list" allowBlank="1" showInputMessage="1" xr:uid="{44A77191-3ADE-4031-94D0-1C72BA8478D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6AA0-7029-4B5A-AB9B-FB47904A6D64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/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/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11"/>
      <c r="G85" s="31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1350C96E-8606-4500-B0E8-ED67DCBE9BCE}">
      <formula1>"1, 2, 3, 4, 5, 6, 7, 8, 9, 10, 11, 12, 13, 14, 15, 16, 17"</formula1>
    </dataValidation>
    <dataValidation type="list" allowBlank="1" showInputMessage="1" showErrorMessage="1" sqref="B7:B82" xr:uid="{92F200B2-7267-4E97-9374-F30B94838357}">
      <formula1>"v"</formula1>
    </dataValidation>
    <dataValidation type="list" allowBlank="1" showInputMessage="1" showErrorMessage="1" sqref="BP7:BP82 AV7:AV82 BL7:BL82 BT7:BT82 BH7:BH82 BD7:BD82 AZ7:AZ82" xr:uid="{189B1397-B62F-47A5-A283-3F031A955FD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A67576E-9F16-403D-92DB-94EFE2EC2FC5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C97F810-90FD-40FF-8F8F-FFDB2274F248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2287-EEAB-45A3-A563-A3BDA36BDFEE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/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/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11"/>
      <c r="G85" s="31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28084570-AA8D-4DB5-9D3E-B8AF1D6C0719}">
      <formula1>"&lt;, &lt;=, &gt;, &gt;=, ="</formula1>
    </dataValidation>
    <dataValidation type="list" allowBlank="1" showInputMessage="1" showErrorMessage="1" sqref="B7:B82" xr:uid="{3FD3A4DD-5E30-4991-AB31-67948DFB3DBE}">
      <formula1>"v"</formula1>
    </dataValidation>
    <dataValidation type="list" allowBlank="1" showInputMessage="1" showErrorMessage="1" sqref="F2" xr:uid="{C15D13EF-C6D2-4662-86F3-81083A72DEE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CD5EE6F-AEE6-4B30-A917-69B37DCF3B8D}">
          <x14:formula1>
            <xm:f>Sheet3!$A$2:$A$49</xm:f>
          </x14:formula1>
          <xm:sqref>F3</xm:sqref>
        </x14:dataValidation>
        <x14:dataValidation type="list" allowBlank="1" showInputMessage="1" xr:uid="{5F2CC60F-D543-43C4-82B8-02C564A26A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5072D-7C30-499A-995D-33A6C12FC153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/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/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11"/>
      <c r="G85" s="31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4FAE50B9-892C-40EF-B3A5-0715BC7EAF7A}">
      <formula1>"1, 2, 3, 4, 5, 6, 7, 8, 9, 10, 11, 12, 13, 14, 15, 16, 17"</formula1>
    </dataValidation>
    <dataValidation type="list" allowBlank="1" showInputMessage="1" showErrorMessage="1" sqref="B7:B82" xr:uid="{D8287D67-231A-4FA2-82F8-3B18D4AAEF01}">
      <formula1>"v"</formula1>
    </dataValidation>
    <dataValidation type="list" allowBlank="1" showInputMessage="1" showErrorMessage="1" sqref="BP7:BP82 AV7:AV82 BL7:BL82 BT7:BT82 BH7:BH82 BD7:BD82 AZ7:AZ82" xr:uid="{92EC4A29-E8F8-4D5A-A353-F5A4B0063BB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49113D52-5087-4B7A-BADC-D2E75DA8E7D5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63AA60B6-52C8-4C78-B825-5DC4FE6359E0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77F1-257A-4753-A183-527B5272E573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/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/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11"/>
      <c r="G85" s="31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7F022C3B-216B-4876-9651-7EE75677BDF9}">
      <formula1>"&lt;, &lt;=, &gt;, &gt;=, ="</formula1>
    </dataValidation>
    <dataValidation type="list" allowBlank="1" showInputMessage="1" showErrorMessage="1" sqref="B7:B82" xr:uid="{BD1F302D-EE91-418E-97F4-30AB4A0B1EFA}">
      <formula1>"v"</formula1>
    </dataValidation>
    <dataValidation type="list" allowBlank="1" showInputMessage="1" showErrorMessage="1" sqref="F2" xr:uid="{8A20365E-A22A-460A-8F1C-8744DFBF1DB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3FBC2CE-63B3-401D-933D-4F91EEED0E08}">
          <x14:formula1>
            <xm:f>Sheet3!$A$2:$A$49</xm:f>
          </x14:formula1>
          <xm:sqref>F3</xm:sqref>
        </x14:dataValidation>
        <x14:dataValidation type="list" allowBlank="1" showInputMessage="1" xr:uid="{48ACC23D-584F-41D1-A81C-681D67B0F48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6CD41-C7E3-4C18-B296-53D64EEA2C5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/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/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11"/>
      <c r="G85" s="31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16E57AA8-1DAB-4F3F-B1AB-02654DDB4F6A}">
      <formula1>"1, 2, 3, 4, 5, 6, 7, 8, 9, 10, 11, 12, 13, 14, 15, 16, 17"</formula1>
    </dataValidation>
    <dataValidation type="list" allowBlank="1" showInputMessage="1" showErrorMessage="1" sqref="B7:B82" xr:uid="{1069FB26-E4A9-49A8-BF49-C3C152B8036C}">
      <formula1>"v"</formula1>
    </dataValidation>
    <dataValidation type="list" allowBlank="1" showInputMessage="1" showErrorMessage="1" sqref="BP7:BP82 AV7:AV82 BL7:BL82 BT7:BT82 BH7:BH82 BD7:BD82 AZ7:AZ82" xr:uid="{CF77235B-65FC-4D0E-B21F-339C09F1960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A66CD3-F816-4370-A1A6-4222732CCE2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DD4279CE-7095-47D0-872C-BE5FB1FA63AA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18D35-88AE-4F0A-AA18-4854F51A4BF5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/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/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11"/>
      <c r="G85" s="31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59836DFB-B633-49AC-BD82-EC8989599281}">
      <formula1>"&lt;, &lt;=, &gt;, &gt;=, ="</formula1>
    </dataValidation>
    <dataValidation type="list" allowBlank="1" showInputMessage="1" showErrorMessage="1" sqref="B7:B82" xr:uid="{3DEA99F2-D0C0-4A4E-B47E-41326E27FF35}">
      <formula1>"v"</formula1>
    </dataValidation>
    <dataValidation type="list" allowBlank="1" showInputMessage="1" showErrorMessage="1" sqref="F2" xr:uid="{E1130AFF-77E2-44AE-BD23-C14E025C45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4B1BD89-7D02-49F8-A413-627D93EAB3F7}">
          <x14:formula1>
            <xm:f>Sheet3!$A$2:$A$49</xm:f>
          </x14:formula1>
          <xm:sqref>F3</xm:sqref>
        </x14:dataValidation>
        <x14:dataValidation type="list" allowBlank="1" showInputMessage="1" xr:uid="{45EE0193-CC7F-4895-902A-DE99C556FC6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76A67-2A74-4D3E-8CDB-9C2A7E60AC10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316" t="s">
        <v>229</v>
      </c>
      <c r="C1" s="316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316"/>
      <c r="C2" s="316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20"/>
      <c r="G3" s="321"/>
      <c r="H3" s="321"/>
      <c r="I3" s="322"/>
      <c r="J3" s="25" t="str">
        <f>IF(F2=1,"","결과 입력 (셀 범위 Q1 ~ AD82)")</f>
        <v/>
      </c>
      <c r="K3" s="7"/>
      <c r="L3" s="312" t="str">
        <f>IF(F2&gt;=2,"Add New Sample (2)","")</f>
        <v/>
      </c>
      <c r="M3" s="312"/>
      <c r="N3" s="312"/>
      <c r="O3" s="248"/>
      <c r="P3" s="312" t="str">
        <f>IF(F2&gt;=3,"Add New Sample (3)","")</f>
        <v/>
      </c>
      <c r="Q3" s="312"/>
      <c r="R3" s="312"/>
      <c r="S3" s="36"/>
      <c r="T3" s="312" t="str">
        <f>IF(F2&gt;=4,"Add New Sample (4)","")</f>
        <v/>
      </c>
      <c r="U3" s="312"/>
      <c r="V3" s="312"/>
      <c r="W3" s="36"/>
      <c r="X3" s="312" t="str">
        <f>IF(F2&gt;=5,"Add New Sample (5)","")</f>
        <v/>
      </c>
      <c r="Y3" s="312"/>
      <c r="Z3" s="312"/>
      <c r="AA3" s="36"/>
      <c r="AB3" s="312" t="str">
        <f>IF(F2&gt;=6,"Add New Sample (6)","")</f>
        <v/>
      </c>
      <c r="AC3" s="312"/>
      <c r="AD3" s="312"/>
      <c r="AE3" s="36"/>
      <c r="AF3" s="312" t="str">
        <f>IF(F2&gt;=7,"Add New Sample (7)","")</f>
        <v/>
      </c>
      <c r="AG3" s="312"/>
      <c r="AH3" s="312"/>
      <c r="AI3" s="36"/>
      <c r="AJ3" s="312" t="str">
        <f>IF(F2&gt;=8,"Add New Sample (8)","")</f>
        <v/>
      </c>
      <c r="AK3" s="312"/>
      <c r="AL3" s="312"/>
      <c r="AM3" s="36"/>
      <c r="AN3" s="312" t="str">
        <f>IF(F2&gt;=9,"Add New Sample (9)","")</f>
        <v/>
      </c>
      <c r="AO3" s="312"/>
      <c r="AP3" s="312"/>
      <c r="AQ3" s="36"/>
      <c r="AR3" s="312" t="str">
        <f>IF(F2&gt;=10,"Add New Sample (10)","")</f>
        <v/>
      </c>
      <c r="AS3" s="312"/>
      <c r="AT3" s="312"/>
      <c r="AU3" s="36"/>
      <c r="AV3" s="312" t="str">
        <f>IF(F2&gt;=11,"Add New Sample (11)","")</f>
        <v/>
      </c>
      <c r="AW3" s="312"/>
      <c r="AX3" s="312"/>
      <c r="AY3" s="36"/>
      <c r="AZ3" s="312" t="str">
        <f>IF(F2&gt;=12,"Add New Sample (12)","")</f>
        <v/>
      </c>
      <c r="BA3" s="312"/>
      <c r="BB3" s="312"/>
      <c r="BC3" s="36"/>
      <c r="BD3" s="312" t="str">
        <f>IF(F2&gt;=13,"Add New Sample (13)","")</f>
        <v/>
      </c>
      <c r="BE3" s="312"/>
      <c r="BF3" s="312"/>
      <c r="BG3" s="36"/>
      <c r="BH3" s="312" t="str">
        <f>IF(F2&gt;=14,"Add New Sample (14)","")</f>
        <v/>
      </c>
      <c r="BI3" s="312"/>
      <c r="BJ3" s="312"/>
      <c r="BK3" s="36"/>
      <c r="BL3" s="312" t="str">
        <f>IF(F2&gt;=15,"Add New Sample (15)","")</f>
        <v/>
      </c>
      <c r="BM3" s="312"/>
      <c r="BN3" s="312"/>
      <c r="BO3" s="36"/>
      <c r="BP3" s="312" t="str">
        <f>IF(F2&gt;=16,"Add New Sample (16)","")</f>
        <v/>
      </c>
      <c r="BQ3" s="312"/>
      <c r="BR3" s="312"/>
      <c r="BS3" s="36"/>
      <c r="BT3" s="312" t="str">
        <f>IF(F2&gt;=17,"Add New Sample (17)","")</f>
        <v/>
      </c>
      <c r="BU3" s="312"/>
      <c r="BV3" s="312"/>
      <c r="BW3" s="7"/>
    </row>
    <row r="4" spans="1:75">
      <c r="A4" s="87"/>
      <c r="B4" s="42"/>
      <c r="C4" s="42"/>
      <c r="D4" s="114"/>
      <c r="E4" s="124" t="s">
        <v>5</v>
      </c>
      <c r="F4" s="317"/>
      <c r="G4" s="318"/>
      <c r="H4" s="318"/>
      <c r="I4" s="31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315"/>
      <c r="N4" s="315"/>
      <c r="O4" s="249" t="str">
        <f>IF(F2&gt;=3,1,"")</f>
        <v/>
      </c>
      <c r="P4" s="63" t="str">
        <f>IF(O4=1,"Tk No.:","")</f>
        <v/>
      </c>
      <c r="Q4" s="315"/>
      <c r="R4" s="315"/>
      <c r="S4" s="55" t="str">
        <f>IF(F2&gt;=4,1,"")</f>
        <v/>
      </c>
      <c r="T4" s="63" t="str">
        <f>IF(S4=1,"Tk No.:","")</f>
        <v/>
      </c>
      <c r="U4" s="315"/>
      <c r="V4" s="315"/>
      <c r="W4" s="55" t="str">
        <f>IF(F2&gt;=5,1,"")</f>
        <v/>
      </c>
      <c r="X4" s="63" t="str">
        <f>IF(W4=1,"Tk No.:","")</f>
        <v/>
      </c>
      <c r="Y4" s="315"/>
      <c r="Z4" s="315"/>
      <c r="AA4" s="55" t="str">
        <f>IF(F2&gt;=6,1,"")</f>
        <v/>
      </c>
      <c r="AB4" s="63" t="str">
        <f>IF(AA4=1,"Tk No.:","")</f>
        <v/>
      </c>
      <c r="AC4" s="315"/>
      <c r="AD4" s="315"/>
      <c r="AE4" s="55" t="str">
        <f>IF($F$2&gt;=7,1,"")</f>
        <v/>
      </c>
      <c r="AF4" s="63" t="str">
        <f>IF(AE4=1,"Tk No.:","")</f>
        <v/>
      </c>
      <c r="AG4" s="315"/>
      <c r="AH4" s="315"/>
      <c r="AI4" s="55" t="str">
        <f>IF($F$2&gt;=8,1,"")</f>
        <v/>
      </c>
      <c r="AJ4" s="63" t="str">
        <f>IF(AI4=1,"Tk No.:","")</f>
        <v/>
      </c>
      <c r="AK4" s="315"/>
      <c r="AL4" s="315"/>
      <c r="AM4" s="55" t="str">
        <f>IF($F$2&gt;=9,1,"")</f>
        <v/>
      </c>
      <c r="AN4" s="63" t="str">
        <f>IF(AM4=1,"Tk No.:","")</f>
        <v/>
      </c>
      <c r="AO4" s="315"/>
      <c r="AP4" s="315"/>
      <c r="AQ4" s="55" t="str">
        <f>IF($F$2&gt;=10,1,"")</f>
        <v/>
      </c>
      <c r="AR4" s="63" t="str">
        <f>IF(AQ4=1,"Tk No.:","")</f>
        <v/>
      </c>
      <c r="AS4" s="315"/>
      <c r="AT4" s="315"/>
      <c r="AU4" s="55" t="str">
        <f>IF($F$2&gt;=11,1,"")</f>
        <v/>
      </c>
      <c r="AV4" s="63" t="str">
        <f>IF(AU4=1,"Tk No.:","")</f>
        <v/>
      </c>
      <c r="AW4" s="315"/>
      <c r="AX4" s="315"/>
      <c r="AY4" s="55" t="str">
        <f>IF($F$2&gt;=12,1,"")</f>
        <v/>
      </c>
      <c r="AZ4" s="63" t="str">
        <f>IF(AY4=1,"Tk No.:","")</f>
        <v/>
      </c>
      <c r="BA4" s="315"/>
      <c r="BB4" s="315"/>
      <c r="BC4" s="55" t="str">
        <f>IF($F$2&gt;=13,1,"")</f>
        <v/>
      </c>
      <c r="BD4" s="63" t="str">
        <f>IF(BC4=1,"Tk No.:","")</f>
        <v/>
      </c>
      <c r="BE4" s="315"/>
      <c r="BF4" s="315"/>
      <c r="BG4" s="55" t="str">
        <f>IF($F$2&gt;=14,1,"")</f>
        <v/>
      </c>
      <c r="BH4" s="63" t="str">
        <f>IF(BG4=1,"Tk No.:","")</f>
        <v/>
      </c>
      <c r="BI4" s="315"/>
      <c r="BJ4" s="315"/>
      <c r="BK4" s="55" t="str">
        <f>IF($F$2&gt;=15,1,"")</f>
        <v/>
      </c>
      <c r="BL4" s="63" t="str">
        <f>IF(BK4=1,"Tk No.:","")</f>
        <v/>
      </c>
      <c r="BM4" s="315"/>
      <c r="BN4" s="315"/>
      <c r="BO4" s="55" t="str">
        <f>IF($F$2&gt;=16,1,"")</f>
        <v/>
      </c>
      <c r="BP4" s="63" t="str">
        <f>IF(BO4=1,"Tk No.:","")</f>
        <v/>
      </c>
      <c r="BQ4" s="315"/>
      <c r="BR4" s="315"/>
      <c r="BS4" s="55" t="str">
        <f>IF($F$2&gt;=17,1,"")</f>
        <v/>
      </c>
      <c r="BT4" s="63" t="str">
        <f>IF(BS4=1,"Tk No.:","")</f>
        <v/>
      </c>
      <c r="BU4" s="315"/>
      <c r="BV4" s="315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314" t="s">
        <v>259</v>
      </c>
      <c r="G5" s="314"/>
      <c r="H5" s="84" t="s">
        <v>18</v>
      </c>
      <c r="I5" s="244" t="s">
        <v>632</v>
      </c>
      <c r="J5" s="255" t="s">
        <v>686</v>
      </c>
      <c r="K5" s="7"/>
      <c r="L5" s="313" t="str">
        <f>IF(K4=1,"Results (검사원)","")</f>
        <v/>
      </c>
      <c r="M5" s="313"/>
      <c r="N5" s="313"/>
      <c r="O5" s="254" t="str">
        <f>IF(L5="","","Final")</f>
        <v/>
      </c>
      <c r="P5" s="313" t="str">
        <f>IF(O4=1,"Results (검사원)","")</f>
        <v/>
      </c>
      <c r="Q5" s="313"/>
      <c r="R5" s="313"/>
      <c r="S5" s="254" t="str">
        <f>IF(P5="","","Final")</f>
        <v/>
      </c>
      <c r="T5" s="313" t="str">
        <f>IF(S4=1,"Results (검사원)","")</f>
        <v/>
      </c>
      <c r="U5" s="313"/>
      <c r="V5" s="313"/>
      <c r="W5" s="254" t="str">
        <f>IF(T5="","","Final")</f>
        <v/>
      </c>
      <c r="X5" s="313" t="str">
        <f>IF(W4=1,"Results (검사원)","")</f>
        <v/>
      </c>
      <c r="Y5" s="313"/>
      <c r="Z5" s="313"/>
      <c r="AA5" s="254" t="str">
        <f>IF(X5="","","Final")</f>
        <v/>
      </c>
      <c r="AB5" s="313" t="str">
        <f>IF(AA4=1,"Results (검사원)","")</f>
        <v/>
      </c>
      <c r="AC5" s="313"/>
      <c r="AD5" s="313"/>
      <c r="AE5" s="254" t="str">
        <f>IF(AB5="","","Final")</f>
        <v/>
      </c>
      <c r="AF5" s="313" t="str">
        <f>IF(AE4=1,"Results (검사원)","")</f>
        <v/>
      </c>
      <c r="AG5" s="313"/>
      <c r="AH5" s="313"/>
      <c r="AI5" s="254" t="str">
        <f>IF(AF5="","","Final")</f>
        <v/>
      </c>
      <c r="AJ5" s="313" t="str">
        <f>IF(AI4=1,"Results (검사원)","")</f>
        <v/>
      </c>
      <c r="AK5" s="313"/>
      <c r="AL5" s="313"/>
      <c r="AM5" s="254" t="str">
        <f>IF(AJ5="","","Final")</f>
        <v/>
      </c>
      <c r="AN5" s="313" t="str">
        <f>IF(AM4=1,"Results (검사원)","")</f>
        <v/>
      </c>
      <c r="AO5" s="313"/>
      <c r="AP5" s="313"/>
      <c r="AQ5" s="254" t="str">
        <f>IF(AN5="","","Final")</f>
        <v/>
      </c>
      <c r="AR5" s="313" t="str">
        <f>IF(AQ4=1,"Results (검사원)","")</f>
        <v/>
      </c>
      <c r="AS5" s="313"/>
      <c r="AT5" s="313"/>
      <c r="AU5" s="254" t="str">
        <f>IF(AR5="","","Final")</f>
        <v/>
      </c>
      <c r="AV5" s="313" t="str">
        <f>IF(AU4=1,"Results (검사원)","")</f>
        <v/>
      </c>
      <c r="AW5" s="313"/>
      <c r="AX5" s="313"/>
      <c r="AY5" s="254" t="str">
        <f>IF(AV5="","","Final")</f>
        <v/>
      </c>
      <c r="AZ5" s="313" t="str">
        <f>IF(AY4=1,"Results (검사원)","")</f>
        <v/>
      </c>
      <c r="BA5" s="313"/>
      <c r="BB5" s="313"/>
      <c r="BC5" s="254" t="str">
        <f>IF(AZ5="","","Final")</f>
        <v/>
      </c>
      <c r="BD5" s="313" t="str">
        <f>IF(BC4=1,"Results (검사원)","")</f>
        <v/>
      </c>
      <c r="BE5" s="313"/>
      <c r="BF5" s="313"/>
      <c r="BG5" s="254" t="str">
        <f>IF(BD5="","","Final")</f>
        <v/>
      </c>
      <c r="BH5" s="313" t="str">
        <f>IF(BG4=1,"Results (검사원)","")</f>
        <v/>
      </c>
      <c r="BI5" s="313"/>
      <c r="BJ5" s="313"/>
      <c r="BK5" s="254" t="str">
        <f>IF(BH5="","","Final")</f>
        <v/>
      </c>
      <c r="BL5" s="313" t="str">
        <f>IF(BK4=1,"Results (검사원)","")</f>
        <v/>
      </c>
      <c r="BM5" s="313"/>
      <c r="BN5" s="313"/>
      <c r="BO5" s="254" t="str">
        <f>IF(BL5="","","Final")</f>
        <v/>
      </c>
      <c r="BP5" s="313" t="str">
        <f>IF(BO4=1,"Results (검사원)","")</f>
        <v/>
      </c>
      <c r="BQ5" s="313"/>
      <c r="BR5" s="313"/>
      <c r="BS5" s="254" t="str">
        <f>IF(BP5="","","Final")</f>
        <v/>
      </c>
      <c r="BT5" s="313" t="str">
        <f>IF(BS4=1,"Results (검사원)","")</f>
        <v/>
      </c>
      <c r="BU5" s="313"/>
      <c r="BV5" s="313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11"/>
      <c r="G85" s="31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B6EA35B0-D2B9-45D7-970C-B061872A9E83}">
      <formula1>"1, 2, 3, 4, 5, 6, 7, 8, 9, 10, 11, 12, 13, 14, 15, 16, 17"</formula1>
    </dataValidation>
    <dataValidation type="list" allowBlank="1" showInputMessage="1" showErrorMessage="1" sqref="B7:B82" xr:uid="{E48C09F7-DAE5-4A3D-B2D1-9AA07882942C}">
      <formula1>"v"</formula1>
    </dataValidation>
    <dataValidation type="list" allowBlank="1" showInputMessage="1" showErrorMessage="1" sqref="BP7:BP82 AV7:AV82 BL7:BL82 BT7:BT82 BH7:BH82 BD7:BD82 AZ7:AZ82" xr:uid="{D8283AB5-E6D5-4278-BEC6-4A1CFC3DD2C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B83A299-A26C-470F-B873-59527D80DDA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921C581-B98F-4206-A42A-639DD58DE0D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7.399999999999999"/>
  <cols>
    <col min="2" max="2" width="11.09765625" bestFit="1" customWidth="1"/>
    <col min="10" max="10" width="30.1992187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365</v>
      </c>
      <c r="N1" t="s">
        <v>333</v>
      </c>
      <c r="O1" t="s">
        <v>334</v>
      </c>
      <c r="Q1" t="s">
        <v>335</v>
      </c>
      <c r="R1" t="s">
        <v>336</v>
      </c>
      <c r="S1" t="s">
        <v>337</v>
      </c>
      <c r="T1" t="s">
        <v>338</v>
      </c>
      <c r="AA1" t="b">
        <v>1</v>
      </c>
    </row>
    <row r="2" spans="1:27">
      <c r="A2" t="s">
        <v>306</v>
      </c>
      <c r="I2" t="s">
        <v>24</v>
      </c>
      <c r="J2" t="s">
        <v>25</v>
      </c>
      <c r="K2" t="s">
        <v>23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307</v>
      </c>
      <c r="I3" t="s">
        <v>26</v>
      </c>
      <c r="J3" t="s">
        <v>27</v>
      </c>
      <c r="K3" t="s">
        <v>23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308</v>
      </c>
      <c r="I4" t="s">
        <v>28</v>
      </c>
      <c r="J4" t="s">
        <v>29</v>
      </c>
      <c r="K4" t="s">
        <v>23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309</v>
      </c>
      <c r="I5" t="s">
        <v>30</v>
      </c>
      <c r="J5" t="s">
        <v>31</v>
      </c>
      <c r="K5" t="s">
        <v>23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310</v>
      </c>
      <c r="I6" t="s">
        <v>32</v>
      </c>
      <c r="J6" t="s">
        <v>33</v>
      </c>
      <c r="K6" t="s">
        <v>23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311</v>
      </c>
      <c r="I7" t="s">
        <v>34</v>
      </c>
      <c r="J7" t="s">
        <v>35</v>
      </c>
      <c r="K7" t="s">
        <v>23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312</v>
      </c>
      <c r="I8" t="s">
        <v>36</v>
      </c>
      <c r="J8" t="s">
        <v>37</v>
      </c>
      <c r="K8" t="s">
        <v>23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266</v>
      </c>
      <c r="I9" t="s">
        <v>38</v>
      </c>
      <c r="J9" t="s">
        <v>39</v>
      </c>
      <c r="K9" t="s">
        <v>23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267</v>
      </c>
      <c r="I10" t="s">
        <v>40</v>
      </c>
      <c r="J10" t="s">
        <v>41</v>
      </c>
      <c r="K10" t="s">
        <v>23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268</v>
      </c>
      <c r="I11" t="s">
        <v>42</v>
      </c>
      <c r="J11" t="s">
        <v>43</v>
      </c>
      <c r="K11" t="s">
        <v>23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269</v>
      </c>
      <c r="I12" t="s">
        <v>44</v>
      </c>
      <c r="J12" t="s">
        <v>45</v>
      </c>
      <c r="K12" t="s">
        <v>23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270</v>
      </c>
      <c r="I13" t="s">
        <v>46</v>
      </c>
      <c r="J13" t="s">
        <v>47</v>
      </c>
      <c r="K13" t="s">
        <v>23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271</v>
      </c>
      <c r="I14" t="s">
        <v>48</v>
      </c>
      <c r="J14" t="s">
        <v>49</v>
      </c>
      <c r="K14" t="s">
        <v>23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272</v>
      </c>
      <c r="I15" t="s">
        <v>50</v>
      </c>
      <c r="J15" t="s">
        <v>51</v>
      </c>
      <c r="K15" t="s">
        <v>23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273</v>
      </c>
      <c r="I16" t="s">
        <v>52</v>
      </c>
      <c r="J16" t="s">
        <v>53</v>
      </c>
      <c r="K16" t="s">
        <v>23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274</v>
      </c>
      <c r="I17" t="s">
        <v>54</v>
      </c>
      <c r="J17" t="s">
        <v>55</v>
      </c>
      <c r="K17" t="s">
        <v>23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275</v>
      </c>
      <c r="I18" t="s">
        <v>56</v>
      </c>
      <c r="J18" t="s">
        <v>57</v>
      </c>
      <c r="K18" t="s">
        <v>23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276</v>
      </c>
      <c r="I19" t="s">
        <v>58</v>
      </c>
      <c r="J19" t="s">
        <v>59</v>
      </c>
      <c r="K19" t="s">
        <v>23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277</v>
      </c>
      <c r="I20" t="s">
        <v>60</v>
      </c>
      <c r="J20" t="s">
        <v>61</v>
      </c>
      <c r="K20" t="s">
        <v>23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278</v>
      </c>
      <c r="I21" t="s">
        <v>62</v>
      </c>
      <c r="J21" t="s">
        <v>63</v>
      </c>
      <c r="K21" t="s">
        <v>23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279</v>
      </c>
      <c r="I22" t="s">
        <v>64</v>
      </c>
      <c r="J22" t="s">
        <v>65</v>
      </c>
      <c r="K22" t="s">
        <v>23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280</v>
      </c>
      <c r="I23" t="s">
        <v>66</v>
      </c>
      <c r="J23" t="s">
        <v>67</v>
      </c>
      <c r="K23" t="s">
        <v>23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281</v>
      </c>
      <c r="I24" t="s">
        <v>68</v>
      </c>
      <c r="J24" t="s">
        <v>69</v>
      </c>
      <c r="K24" t="s">
        <v>23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282</v>
      </c>
      <c r="I25" t="s">
        <v>70</v>
      </c>
      <c r="J25" t="s">
        <v>71</v>
      </c>
      <c r="K25" t="s">
        <v>23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283</v>
      </c>
      <c r="I26" t="s">
        <v>72</v>
      </c>
      <c r="J26" t="s">
        <v>73</v>
      </c>
      <c r="K26" t="s">
        <v>23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284</v>
      </c>
      <c r="I27" t="s">
        <v>74</v>
      </c>
      <c r="J27" t="s">
        <v>75</v>
      </c>
      <c r="K27" t="s">
        <v>23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285</v>
      </c>
      <c r="I28" t="s">
        <v>76</v>
      </c>
      <c r="J28" t="s">
        <v>77</v>
      </c>
      <c r="K28" t="s">
        <v>23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286</v>
      </c>
      <c r="I29" t="s">
        <v>78</v>
      </c>
      <c r="J29" t="s">
        <v>79</v>
      </c>
      <c r="K29" t="s">
        <v>23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287</v>
      </c>
      <c r="F30" s="146"/>
      <c r="I30" t="s">
        <v>80</v>
      </c>
      <c r="J30" t="s">
        <v>81</v>
      </c>
      <c r="K30" t="s">
        <v>23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288</v>
      </c>
      <c r="I31" t="s">
        <v>82</v>
      </c>
      <c r="J31" t="s">
        <v>83</v>
      </c>
      <c r="K31" t="s">
        <v>23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289</v>
      </c>
      <c r="I32" t="s">
        <v>84</v>
      </c>
      <c r="J32" t="s">
        <v>85</v>
      </c>
      <c r="K32" t="s">
        <v>23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290</v>
      </c>
      <c r="I33" t="s">
        <v>86</v>
      </c>
      <c r="J33" t="s">
        <v>87</v>
      </c>
      <c r="K33" t="s">
        <v>23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291</v>
      </c>
      <c r="I34" t="s">
        <v>88</v>
      </c>
      <c r="J34" t="s">
        <v>89</v>
      </c>
      <c r="K34" t="s">
        <v>23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292</v>
      </c>
      <c r="I35" t="s">
        <v>90</v>
      </c>
      <c r="J35" t="s">
        <v>91</v>
      </c>
      <c r="K35" t="s">
        <v>23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293</v>
      </c>
      <c r="I36" t="s">
        <v>92</v>
      </c>
      <c r="J36" t="s">
        <v>93</v>
      </c>
      <c r="K36" t="s">
        <v>23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294</v>
      </c>
      <c r="I37" t="s">
        <v>94</v>
      </c>
      <c r="J37" t="s">
        <v>95</v>
      </c>
      <c r="K37" t="s">
        <v>23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295</v>
      </c>
      <c r="I38" t="s">
        <v>96</v>
      </c>
      <c r="J38" t="s">
        <v>97</v>
      </c>
      <c r="K38" t="s">
        <v>23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296</v>
      </c>
      <c r="I39" t="s">
        <v>98</v>
      </c>
      <c r="J39" t="s">
        <v>99</v>
      </c>
      <c r="K39" t="s">
        <v>23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297</v>
      </c>
      <c r="I40" t="s">
        <v>100</v>
      </c>
      <c r="J40" t="s">
        <v>101</v>
      </c>
      <c r="K40" t="s">
        <v>23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298</v>
      </c>
      <c r="I41" t="s">
        <v>102</v>
      </c>
      <c r="J41" t="s">
        <v>103</v>
      </c>
      <c r="K41" t="s">
        <v>23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299</v>
      </c>
      <c r="I42" t="s">
        <v>104</v>
      </c>
      <c r="J42" t="s">
        <v>105</v>
      </c>
      <c r="K42" t="s">
        <v>23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300</v>
      </c>
      <c r="I43" t="s">
        <v>106</v>
      </c>
      <c r="J43" t="s">
        <v>107</v>
      </c>
      <c r="K43" t="s">
        <v>23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301</v>
      </c>
      <c r="I44" t="s">
        <v>108</v>
      </c>
      <c r="J44" t="s">
        <v>109</v>
      </c>
      <c r="K44" t="s">
        <v>23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302</v>
      </c>
      <c r="I45" t="s">
        <v>110</v>
      </c>
      <c r="J45" t="s">
        <v>111</v>
      </c>
      <c r="K45" t="s">
        <v>23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265</v>
      </c>
      <c r="I46" t="s">
        <v>112</v>
      </c>
      <c r="J46" t="s">
        <v>113</v>
      </c>
      <c r="K46" t="s">
        <v>23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303</v>
      </c>
      <c r="I47" t="s">
        <v>114</v>
      </c>
      <c r="J47" t="s">
        <v>115</v>
      </c>
      <c r="K47" t="s">
        <v>116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304</v>
      </c>
      <c r="I48" t="s">
        <v>117</v>
      </c>
      <c r="J48" t="s">
        <v>118</v>
      </c>
      <c r="K48" t="s">
        <v>116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305</v>
      </c>
      <c r="I49" t="s">
        <v>119</v>
      </c>
      <c r="J49" t="s">
        <v>120</v>
      </c>
      <c r="K49" t="s">
        <v>116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234</v>
      </c>
      <c r="I62" t="s">
        <v>145</v>
      </c>
      <c r="J62" t="s">
        <v>146</v>
      </c>
      <c r="K62" t="s">
        <v>116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325</v>
      </c>
      <c r="I63" t="s">
        <v>147</v>
      </c>
      <c r="J63" t="s">
        <v>148</v>
      </c>
      <c r="K63" t="s">
        <v>116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235</v>
      </c>
      <c r="I64" t="s">
        <v>149</v>
      </c>
      <c r="J64" t="s">
        <v>150</v>
      </c>
      <c r="K64" t="s">
        <v>116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326</v>
      </c>
      <c r="I65" t="s">
        <v>151</v>
      </c>
      <c r="J65" t="s">
        <v>152</v>
      </c>
      <c r="K65" t="s">
        <v>116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236</v>
      </c>
      <c r="I66" t="s">
        <v>153</v>
      </c>
      <c r="J66" t="s">
        <v>154</v>
      </c>
      <c r="K66" t="s">
        <v>116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238</v>
      </c>
      <c r="I67" t="s">
        <v>155</v>
      </c>
      <c r="J67" t="s">
        <v>156</v>
      </c>
      <c r="K67" t="s">
        <v>116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239</v>
      </c>
      <c r="I68" t="s">
        <v>157</v>
      </c>
      <c r="J68" t="s">
        <v>158</v>
      </c>
      <c r="K68" t="s">
        <v>159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327</v>
      </c>
      <c r="I69" t="s">
        <v>160</v>
      </c>
      <c r="J69" t="s">
        <v>161</v>
      </c>
      <c r="K69" t="s">
        <v>159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328</v>
      </c>
      <c r="I70" t="s">
        <v>162</v>
      </c>
      <c r="J70" t="s">
        <v>163</v>
      </c>
      <c r="K70" t="s">
        <v>159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237</v>
      </c>
      <c r="I71" t="s">
        <v>164</v>
      </c>
      <c r="J71" t="s">
        <v>165</v>
      </c>
      <c r="K71" t="s">
        <v>159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329</v>
      </c>
      <c r="I72" t="s">
        <v>166</v>
      </c>
      <c r="J72" t="s">
        <v>167</v>
      </c>
      <c r="K72" t="s">
        <v>159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240</v>
      </c>
      <c r="I73" t="s">
        <v>168</v>
      </c>
      <c r="J73" t="s">
        <v>169</v>
      </c>
      <c r="K73" t="s">
        <v>159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241</v>
      </c>
      <c r="I74" t="s">
        <v>170</v>
      </c>
      <c r="J74" t="s">
        <v>171</v>
      </c>
      <c r="K74" t="s">
        <v>159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244</v>
      </c>
      <c r="I79" t="s">
        <v>181</v>
      </c>
      <c r="J79" t="s">
        <v>182</v>
      </c>
      <c r="K79" t="s">
        <v>178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247</v>
      </c>
      <c r="I80" t="s">
        <v>183</v>
      </c>
      <c r="J80" t="s">
        <v>184</v>
      </c>
      <c r="K80" t="s">
        <v>178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245</v>
      </c>
      <c r="I81" t="s">
        <v>185</v>
      </c>
      <c r="J81" t="s">
        <v>186</v>
      </c>
      <c r="K81" t="s">
        <v>187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45244</v>
      </c>
      <c r="I86" t="s">
        <v>250</v>
      </c>
      <c r="J86" t="s">
        <v>251</v>
      </c>
      <c r="K86" t="s">
        <v>250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676</v>
      </c>
      <c r="J87" s="146" t="s">
        <v>680</v>
      </c>
      <c r="K87" t="s">
        <v>676</v>
      </c>
      <c r="L87" s="146" t="s">
        <v>680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677</v>
      </c>
      <c r="J88" s="146" t="s">
        <v>681</v>
      </c>
      <c r="K88" t="s">
        <v>677</v>
      </c>
      <c r="L88" s="146" t="s">
        <v>681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678</v>
      </c>
      <c r="J89" s="146" t="s">
        <v>682</v>
      </c>
      <c r="K89" t="s">
        <v>678</v>
      </c>
      <c r="L89" s="146" t="s">
        <v>682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679</v>
      </c>
      <c r="J90" s="146" t="s">
        <v>682</v>
      </c>
      <c r="K90" t="s">
        <v>679</v>
      </c>
      <c r="L90" s="146" t="s">
        <v>682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683</v>
      </c>
      <c r="J91" s="146" t="s">
        <v>684</v>
      </c>
      <c r="K91" t="s">
        <v>683</v>
      </c>
      <c r="L91" s="146" t="s">
        <v>684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250</v>
      </c>
      <c r="K148" s="146" t="s">
        <v>251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541020</xdr:colOff>
                    <xdr:row>89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Kim, HyunJin (Ulsan)</cp:lastModifiedBy>
  <cp:lastPrinted>2023-08-21T01:31:29Z</cp:lastPrinted>
  <dcterms:created xsi:type="dcterms:W3CDTF">2022-11-23T02:24:26Z</dcterms:created>
  <dcterms:modified xsi:type="dcterms:W3CDTF">2023-11-14T06:19:23Z</dcterms:modified>
</cp:coreProperties>
</file>