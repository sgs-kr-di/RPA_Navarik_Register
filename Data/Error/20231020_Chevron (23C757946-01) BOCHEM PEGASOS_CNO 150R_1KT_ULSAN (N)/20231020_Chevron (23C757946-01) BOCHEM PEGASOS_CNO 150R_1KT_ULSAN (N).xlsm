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hyunjin_kim\Desktop\Navarik 등록\4. 예비 폴더방\20231020_Chevron (23C757946-01) BOCHEM PEGASOS_CNO 150R_1KT_ULSAN (N)\"/>
    </mc:Choice>
  </mc:AlternateContent>
  <xr:revisionPtr revIDLastSave="0" documentId="13_ncr:1_{FBE0A439-B381-48B7-A852-C7BFE1E4ED78}" xr6:coauthVersionLast="47" xr6:coauthVersionMax="47" xr10:uidLastSave="{00000000-0000-0000-0000-000000000000}"/>
  <bookViews>
    <workbookView xWindow="-108" yWindow="-108" windowWidth="23256" windowHeight="12576" tabRatio="688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8" i="36" l="1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G37" i="1"/>
  <c r="F36" i="1"/>
  <c r="D37" i="1"/>
  <c r="E37" i="1"/>
  <c r="G36" i="1"/>
  <c r="E36" i="1"/>
  <c r="D36" i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7" i="36"/>
  <c r="C6" i="36"/>
  <c r="B6" i="36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37" i="1"/>
  <c r="C24" i="1"/>
  <c r="C36" i="1"/>
</calcChain>
</file>

<file path=xl/sharedStrings.xml><?xml version="1.0" encoding="utf-8"?>
<sst xmlns="http://schemas.openxmlformats.org/spreadsheetml/2006/main" count="1077" uniqueCount="691">
  <si>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</si>
  <si>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</si>
  <si>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</si>
  <si>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</si>
  <si>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</si>
  <si>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</si>
  <si>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</si>
  <si>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</si>
  <si>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</si>
  <si>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</si>
  <si>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</si>
  <si>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</si>
  <si>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</si>
  <si>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</si>
  <si>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</si>
  <si>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</si>
  <si>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</si>
  <si>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</si>
  <si>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</si>
  <si>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</si>
  <si>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</si>
  <si>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</si>
  <si>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</si>
  <si>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</si>
  <si>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</si>
  <si>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</si>
  <si>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</si>
  <si>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</si>
  <si>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</si>
  <si>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</si>
  <si>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</si>
  <si>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</si>
  <si>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</si>
  <si>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</si>
  <si>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</si>
  <si>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</si>
  <si>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</si>
  <si>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</si>
  <si>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</si>
  <si>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</si>
  <si>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</si>
  <si>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</si>
  <si>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</si>
  <si>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</si>
  <si>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</si>
  <si>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</si>
  <si>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</si>
  <si>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</si>
  <si>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</si>
  <si>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</si>
  <si>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</si>
  <si>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</si>
  <si>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</si>
  <si>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</si>
  <si>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</si>
  <si>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</si>
  <si>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</si>
  <si>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</si>
  <si>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</si>
  <si>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</si>
  <si>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</si>
  <si>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</si>
  <si>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</si>
  <si>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</si>
  <si>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</si>
  <si>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</si>
  <si>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</si>
  <si>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</si>
  <si>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</si>
  <si>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</si>
  <si>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</si>
  <si>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</si>
  <si>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</si>
  <si>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</si>
  <si>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</si>
  <si>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</si>
  <si>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</si>
  <si>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</si>
  <si>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</si>
  <si>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</si>
  <si>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</si>
  <si>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</si>
  <si>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</si>
  <si>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</si>
  <si>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</si>
  <si>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</si>
  <si>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</si>
  <si>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</si>
  <si>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</si>
  <si>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</si>
  <si>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</si>
  <si>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</si>
  <si>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</si>
  <si>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</si>
  <si>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</si>
  <si>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</si>
  <si>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</si>
  <si>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</si>
  <si>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</si>
  <si>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</si>
  <si>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</si>
  <si>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</si>
  <si>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</si>
  <si>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</si>
  <si>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</si>
  <si>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</si>
  <si>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</si>
  <si>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</si>
  <si>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</si>
  <si>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</si>
  <si>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</si>
  <si>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</si>
  <si>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</si>
  <si>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</si>
  <si>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</si>
  <si>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</si>
  <si>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</si>
  <si>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</si>
  <si>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</si>
  <si>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</si>
  <si>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</si>
  <si>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</si>
  <si>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</si>
  <si>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</si>
  <si>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</si>
  <si>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</si>
  <si>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</si>
  <si>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</si>
  <si>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</si>
  <si>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</si>
  <si>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</si>
  <si>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</si>
  <si>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</si>
  <si>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</si>
  <si>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</si>
  <si>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</si>
  <si>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</si>
  <si>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</si>
  <si>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</si>
  <si>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</si>
  <si>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</si>
  <si>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</si>
  <si>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</si>
  <si>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</si>
  <si>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</si>
  <si>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</si>
  <si>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</si>
  <si>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</si>
  <si>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</si>
  <si>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</si>
  <si>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</si>
  <si>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</si>
  <si>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</si>
  <si>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</si>
  <si>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</si>
  <si>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</si>
  <si>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</si>
  <si>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</si>
  <si>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</si>
  <si>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</si>
  <si>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</si>
  <si>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</si>
  <si>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</si>
  <si>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</si>
  <si>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</si>
  <si>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</si>
  <si>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</si>
  <si>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</si>
  <si>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</si>
  <si>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</si>
  <si>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</si>
  <si>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</si>
  <si>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</si>
  <si>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</si>
  <si>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</si>
  <si>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</si>
  <si>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</si>
  <si>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</si>
  <si>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</si>
  <si>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</si>
  <si>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</si>
  <si>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</si>
  <si>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</si>
  <si>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</si>
  <si>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</si>
  <si>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</si>
  <si>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</si>
  <si>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</si>
  <si>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</si>
  <si>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</si>
  <si>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</si>
  <si>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</si>
  <si>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</si>
  <si>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</si>
  <si>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</si>
  <si>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</si>
  <si>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</si>
  <si>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</si>
  <si>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</si>
  <si>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</si>
  <si>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</si>
  <si>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</si>
  <si>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</si>
  <si>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</si>
  <si>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</si>
  <si>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</si>
  <si>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</si>
  <si>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</si>
  <si>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</si>
  <si>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</si>
  <si>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</si>
  <si>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</si>
  <si>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</si>
  <si>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</si>
  <si>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</si>
  <si>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</si>
  <si>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</si>
  <si>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</si>
  <si>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</si>
  <si>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</si>
  <si>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</si>
  <si>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</si>
  <si>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</si>
  <si>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</si>
  <si>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</si>
  <si>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</si>
  <si>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</si>
  <si>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</si>
  <si>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</si>
  <si>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</si>
  <si>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</si>
  <si>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</si>
  <si>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</si>
  <si>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</si>
  <si>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</si>
  <si>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</si>
  <si>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</si>
  <si>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</si>
  <si>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</si>
  <si>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</si>
  <si>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</si>
  <si>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</si>
  <si>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</si>
  <si>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</si>
  <si>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</si>
  <si>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</si>
  <si>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</si>
  <si>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</si>
  <si>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</si>
  <si>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</si>
  <si>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</si>
  <si>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</si>
  <si>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</si>
  <si>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</si>
  <si>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</si>
  <si>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</si>
  <si>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</si>
  <si>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</si>
  <si>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</si>
  <si>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</si>
  <si>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</si>
  <si>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</si>
  <si>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</si>
  <si>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</si>
  <si>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</si>
  <si>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</si>
  <si>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</si>
  <si>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</si>
  <si>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</si>
  <si>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</si>
  <si>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</si>
  <si>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</si>
  <si>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</si>
  <si>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</si>
  <si>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</si>
  <si>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</si>
  <si>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</si>
  <si>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</si>
  <si>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</si>
  <si>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</si>
  <si>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</si>
  <si>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</si>
  <si>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</si>
  <si>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</si>
  <si>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</si>
  <si>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</si>
  <si>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</si>
  <si>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</si>
  <si>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</si>
  <si>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</si>
  <si>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</si>
  <si>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</si>
  <si>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</si>
  <si>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</si>
  <si>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</si>
  <si>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</si>
  <si>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</si>
  <si>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</si>
  <si>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</si>
  <si>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</si>
  <si>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</si>
  <si>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</si>
  <si>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</si>
  <si>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</si>
  <si>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</si>
  <si>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</si>
  <si>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</si>
  <si>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</si>
  <si>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</si>
  <si>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</si>
  <si>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</si>
  <si>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</si>
  <si>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</si>
  <si>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</si>
  <si>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</si>
  <si>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</si>
  <si>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</si>
  <si>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</si>
  <si>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</si>
  <si>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</si>
  <si>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</si>
  <si>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</si>
  <si>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</si>
  <si>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</si>
  <si>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</si>
  <si>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</si>
  <si>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</si>
  <si>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</si>
  <si>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</si>
  <si>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</si>
  <si>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</si>
  <si>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</si>
  <si>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</si>
  <si>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</si>
  <si>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</si>
  <si>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</si>
  <si>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</si>
  <si>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</si>
  <si>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</si>
  <si>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</si>
  <si>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</si>
  <si>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</si>
  <si>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</si>
  <si>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</si>
  <si>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</si>
  <si>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</si>
  <si>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</si>
  <si>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</si>
  <si>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</si>
  <si>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</si>
  <si>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</si>
  <si>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</si>
  <si>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</si>
  <si>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</si>
  <si>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</si>
  <si>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</si>
  <si>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</si>
  <si>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</si>
  <si>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</si>
  <si>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</si>
  <si>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</si>
  <si>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</si>
  <si>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</si>
  <si>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</si>
  <si>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</si>
  <si>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</si>
  <si>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</si>
  <si>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</si>
  <si>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</si>
  <si>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</si>
  <si>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</si>
  <si>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</si>
  <si>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</si>
  <si>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</si>
  <si>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</si>
  <si>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</si>
  <si>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</si>
  <si>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</si>
  <si>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</si>
  <si>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</si>
  <si>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</si>
  <si>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</si>
  <si>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</si>
  <si>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</si>
  <si>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</si>
  <si>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</si>
  <si>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</si>
  <si>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</si>
  <si>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</si>
  <si>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</si>
  <si>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</si>
  <si>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</si>
  <si>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</si>
  <si>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</si>
  <si>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</si>
  <si>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</si>
  <si>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</si>
  <si>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</si>
  <si>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</si>
  <si>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</si>
  <si>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</si>
  <si>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</si>
  <si>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</si>
  <si>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</si>
  <si>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</si>
  <si>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</si>
  <si>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</si>
  <si>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</si>
  <si>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</si>
  <si>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</si>
  <si>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</si>
  <si>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</si>
  <si>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</si>
  <si>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</si>
  <si>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</si>
  <si>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</si>
  <si>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</si>
  <si>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</si>
  <si>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</si>
  <si>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</si>
  <si>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</si>
  <si>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</si>
  <si>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</si>
  <si>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</si>
  <si>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</si>
  <si>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</si>
  <si>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</si>
  <si>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</si>
  <si>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</si>
  <si>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</si>
  <si>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</si>
  <si>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</si>
  <si>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</si>
  <si>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</si>
  <si>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</si>
  <si>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</si>
  <si>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</si>
  <si>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</si>
  <si>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</si>
  <si>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</si>
  <si>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</si>
  <si>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</si>
  <si>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</si>
  <si>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</si>
  <si>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</si>
  <si>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</si>
  <si>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</si>
  <si>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</si>
  <si>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</si>
  <si>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</si>
  <si>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</si>
  <si>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</si>
  <si>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</si>
  <si>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</si>
  <si>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</si>
  <si>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</si>
  <si>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</si>
  <si>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</si>
  <si>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</si>
  <si>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</si>
  <si>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</si>
  <si>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</si>
  <si>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</si>
  <si>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</si>
  <si>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</si>
  <si>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</si>
  <si>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</si>
  <si>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</si>
  <si>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</si>
  <si>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</si>
  <si>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</si>
  <si>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</si>
  <si>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</si>
  <si>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</si>
  <si>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</si>
  <si>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</si>
  <si>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</si>
  <si>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</si>
  <si>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</si>
  <si>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</si>
  <si>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</si>
  <si>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</si>
  <si>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</si>
  <si>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</si>
  <si>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</si>
  <si>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</si>
  <si>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</si>
  <si>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</si>
  <si>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</si>
  <si>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</si>
  <si>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</si>
  <si>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</si>
  <si>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</si>
  <si>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</si>
  <si>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</si>
  <si>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</si>
  <si>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</si>
  <si>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</si>
  <si>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</si>
  <si>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</si>
  <si>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</si>
  <si>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</si>
  <si>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</si>
  <si>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</si>
  <si>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</si>
  <si>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</si>
  <si>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</si>
  <si>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</si>
  <si>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</si>
  <si>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</si>
  <si>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</si>
  <si>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</si>
  <si>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</si>
  <si>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</si>
  <si>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</si>
  <si>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</si>
  <si>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</si>
  <si>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</si>
  <si>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</si>
  <si>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</si>
  <si>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</si>
  <si>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</si>
  <si>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</si>
  <si>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</si>
  <si>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</si>
  <si>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</si>
  <si>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</si>
  <si>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</si>
  <si>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</si>
  <si>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</si>
  <si>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</si>
  <si>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</si>
  <si>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</si>
  <si>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</si>
  <si>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</si>
  <si>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</si>
  <si>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</si>
  <si>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</si>
  <si>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</si>
  <si>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</si>
  <si>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</si>
  <si>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</si>
  <si>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</si>
  <si>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</si>
  <si>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</si>
  <si>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</si>
  <si>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</si>
  <si>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</si>
  <si>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</si>
  <si>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</si>
  <si>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</si>
  <si>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</si>
  <si>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</si>
  <si>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</si>
  <si>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</si>
  <si>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</si>
  <si>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</si>
  <si>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</si>
  <si>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</si>
  <si>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</si>
  <si>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</si>
  <si>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</si>
  <si>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</si>
  <si>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</si>
  <si>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</si>
  <si>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</si>
  <si>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</si>
  <si>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</si>
  <si>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</si>
  <si>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</si>
  <si>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</si>
  <si>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</si>
  <si>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</si>
  <si>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</si>
  <si>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</si>
  <si>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</si>
  <si>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</si>
  <si>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</si>
  <si>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</si>
  <si>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</si>
  <si>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</si>
  <si>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</si>
  <si>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</si>
  <si>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</si>
  <si>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</si>
  <si>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</si>
  <si>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</si>
  <si>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</si>
  <si>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</si>
  <si>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</si>
  <si>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</si>
  <si>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</si>
  <si>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</si>
  <si>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</si>
  <si>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</si>
  <si>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</si>
  <si>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</si>
  <si>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</si>
  <si>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</si>
  <si>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</si>
  <si>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</si>
  <si>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</si>
  <si>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</si>
  <si>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</si>
  <si>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</si>
  <si>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</si>
  <si>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</si>
  <si>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</si>
  <si>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</si>
  <si>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</si>
  <si>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</si>
  <si>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</si>
  <si>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</si>
  <si>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</si>
  <si>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</si>
  <si>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</si>
  <si>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</si>
  <si>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</si>
  <si>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</si>
  <si>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</si>
  <si>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</si>
  <si>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</si>
  <si>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</si>
  <si>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</si>
  <si>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</si>
  <si>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</si>
  <si>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</si>
  <si>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</si>
  <si>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</si>
  <si>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</si>
  <si>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</si>
  <si>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</si>
  <si>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</si>
  <si>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</si>
  <si>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</si>
  <si>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</si>
  <si>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</si>
  <si>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</si>
  <si>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</si>
  <si>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</si>
  <si>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</si>
  <si>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</si>
  <si>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</si>
  <si>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</si>
  <si>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</si>
  <si>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</si>
  <si>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</si>
  <si>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</si>
  <si>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</si>
  <si>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</si>
  <si>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</si>
  <si>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</si>
  <si>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</si>
  <si>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</si>
  <si>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</si>
  <si>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</si>
  <si>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</si>
  <si>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</si>
  <si>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</si>
  <si>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</si>
  <si>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</si>
  <si>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</si>
  <si>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</si>
  <si>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</si>
  <si>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</si>
  <si>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</si>
  <si>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</si>
  <si>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</si>
  <si>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</si>
  <si>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</si>
  <si>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</si>
  <si>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</si>
  <si>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</si>
  <si>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</si>
  <si>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</si>
  <si>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</si>
  <si>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</si>
  <si>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</si>
  <si>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</si>
  <si>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</si>
  <si>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</si>
  <si>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</si>
  <si>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</si>
  <si>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</si>
  <si>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</si>
  <si>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</si>
  <si>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t>김상목</t>
    <phoneticPr fontId="1" type="noConversion"/>
  </si>
  <si>
    <t>CHEVRON</t>
  </si>
  <si>
    <t>23C757946-01</t>
    <phoneticPr fontId="1" type="noConversion"/>
  </si>
  <si>
    <t>CHV NEUTRAL OIL 150R</t>
    <phoneticPr fontId="1" type="noConversion"/>
  </si>
  <si>
    <t>BOCHEM PEGASOS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</si>
</sst>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88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</cellXfs>
  <cellStyles count="2">
    <cellStyle name="표준" xfId="0" builtinId="0"/>
    <cellStyle name="하이퍼링크" xfId="1" builtinId="8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15240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9</xdr:row>
          <xdr:rowOff>182880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11</xdr:row>
          <xdr:rowOff>7620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</xdr:colOff>
          <xdr:row>13</xdr:row>
          <xdr:rowOff>15240</xdr:rowOff>
        </xdr:from>
        <xdr:to>
          <xdr:col>2</xdr:col>
          <xdr:colOff>847725</xdr:colOff>
          <xdr:row>13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426720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추가하려면 하기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대신 변경하여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(Commence Ballasting, Finish Ballasting, Final Analysis Completed, Free Pratique Granted)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항목은 나바릭에서 제공하는 문구와 일치해야 하므로 드롭다운 목록 방식으로 해당 항목을 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선택하여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33</xdr:row>
      <xdr:rowOff>15240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541020</xdr:colOff>
          <xdr:row>89</xdr:row>
          <xdr:rowOff>160020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drawing" Target="../drawings/drawing14.xml"/><Relationship Id="rId3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printerSettings" Target="../printerSettings/printerSettings14.bin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ctrlProp" Target="../ctrlProps/ctrlProp6.x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10" Type="http://schemas.openxmlformats.org/officeDocument/2006/relationships/hyperlink" Target="mailto:kr_ogcwest@sgs.com" TargetMode="External"/><Relationship Id="rId19" Type="http://schemas.openxmlformats.org/officeDocument/2006/relationships/vmlDrawing" Target="../drawings/vmlDrawing2.vm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abSelected="1" topLeftCell="A2" zoomScaleNormal="100" workbookViewId="0">
      <selection activeCell="A2" sqref="A2"/>
    </sheetView>
  </sheetViews>
  <sheetFormatPr defaultRowHeight="18" customHeight="1"/>
  <cols>
    <col min="1" max="1" width="2.8984375" style="99" customWidth="1"/>
    <col min="2" max="2" width="20.59765625" style="99" customWidth="1"/>
    <col min="3" max="3" width="31.796875" style="99" customWidth="1"/>
    <col min="4" max="5" width="2.59765625" style="109" customWidth="1"/>
    <col min="6" max="11" width="10.69921875" style="109" customWidth="1"/>
    <col min="12" max="19" width="8.796875" style="109"/>
    <col min="20" max="16384" width="8.7968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394</v>
      </c>
      <c r="C5" s="157" t="s">
        <v>686</v>
      </c>
      <c r="E5" s="235" t="s">
        <v>647</v>
      </c>
      <c r="F5" s="247" t="s">
        <v>677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IF(C5="","",VLOOKUP(C5,Sheet3!$I$1:$L$86,3,))</f>
        <v>울산</v>
      </c>
      <c r="C6" s="158" t="str">
        <f>IF(C5="","위 셀에 지역을 필수 선택합니다.",VLOOKUP(C5,Sheet3!$I$1:$L$86,2,))</f>
        <v>gary.kim@sgs.com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IF(C5="","",CONCATENATE(VLOOKUP(C5,Sheet3!$I$1:$L$86,4,),"; hyunjin.kim@sgs.com"))</f>
        <v>kr_ogculsan@sgs.com; hyunjin.kim@sgs.com</v>
      </c>
      <c r="D7" s="109" t="s">
        <v>396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674</v>
      </c>
      <c r="C9" s="232" t="s">
        <v>675</v>
      </c>
      <c r="E9" s="240" t="s">
        <v>678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Yes</v>
      </c>
      <c r="E10" s="235" t="s">
        <v>647</v>
      </c>
      <c r="F10" s="247" t="s">
        <v>681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647</v>
      </c>
      <c r="F11" s="247" t="s">
        <v>680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647</v>
      </c>
      <c r="F12" s="247" t="s">
        <v>682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8" customHeight="1" thickBot="1">
      <c r="B13" s="230" t="s">
        <v>676</v>
      </c>
      <c r="E13" s="241" t="s">
        <v>679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673</v>
      </c>
      <c r="C14" s="223"/>
      <c r="E14" s="235" t="s">
        <v>647</v>
      </c>
      <c r="F14" s="247" t="s">
        <v>683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671</v>
      </c>
      <c r="C15" s="202"/>
      <c r="E15" s="235" t="s">
        <v>647</v>
      </c>
      <c r="F15" s="247" t="s">
        <v>684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672</v>
      </c>
      <c r="C16" s="178"/>
      <c r="E16" s="235" t="s">
        <v>647</v>
      </c>
      <c r="F16" s="247" t="s">
        <v>685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687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688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689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690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385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392</v>
      </c>
      <c r="C25" s="184" t="str">
        <f>IF(B6="여수","gabriel.jeong@sgs.com","Kr_ogculsan@sgs.com")</f>
        <v>Kr_ogculsan@sgs.com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393</v>
      </c>
      <c r="C26" s="186" t="str">
        <f>IF(B6="여수",C36,C35)</f>
        <v>Password_00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408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407</v>
      </c>
      <c r="C29" s="182">
        <f ca="1">TODAY()</f>
        <v>45216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409</v>
      </c>
      <c r="C30" s="182">
        <f ca="1">IF(C29="","",EDATE(C29,-6))</f>
        <v>45033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410</v>
      </c>
      <c r="C31" s="182">
        <f ca="1">IF(C29="","",EDATE(C29,3))</f>
        <v>45308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399</v>
      </c>
      <c r="C34" s="249" t="s">
        <v>393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643</v>
      </c>
      <c r="C35" s="251" t="s">
        <v>670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644</v>
      </c>
      <c r="C36" s="251" t="s">
        <v>669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1</v>
      </c>
      <c r="C48" s="225">
        <f t="shared" ref="C48:C49" si="0">IF(LEFT(B48,1)="T",1,2)</f>
        <v>1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wrl7ekR5gr4Y0TEfjAubrtOOeNI7BmM8TYIDUJVMudFBm7k0fe8KB6K6+zqUwTQv+/H9dfwl40+gQloV52dJmA==" saltValue="S2IWzjovN380n8bRPMzuu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22860</xdr:colOff>
                    <xdr:row>9</xdr:row>
                    <xdr:rowOff>15240</xdr:rowOff>
                  </from>
                  <to>
                    <xdr:col>1</xdr:col>
                    <xdr:colOff>1325880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15240</xdr:colOff>
                    <xdr:row>9</xdr:row>
                    <xdr:rowOff>182880</xdr:rowOff>
                  </from>
                  <to>
                    <xdr:col>1</xdr:col>
                    <xdr:colOff>1318260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15240</xdr:colOff>
                    <xdr:row>11</xdr:row>
                    <xdr:rowOff>7620</xdr:rowOff>
                  </from>
                  <to>
                    <xdr:col>1</xdr:col>
                    <xdr:colOff>1318260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129540</xdr:colOff>
                    <xdr:row>13</xdr:row>
                    <xdr:rowOff>15240</xdr:rowOff>
                  </from>
                  <to>
                    <xdr:col>2</xdr:col>
                    <xdr:colOff>845820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426720</xdr:rowOff>
                  </from>
                  <to>
                    <xdr:col>2</xdr:col>
                    <xdr:colOff>1493520</xdr:colOff>
                    <xdr:row>13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Sheet3!$I$1:$I$86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RowHeight="13.8" customHeight="1"/>
  <cols>
    <col min="1" max="1" width="3.3984375" style="86" customWidth="1"/>
    <col min="2" max="2" width="2.19921875" style="2" customWidth="1"/>
    <col min="3" max="3" width="29.296875" style="2" customWidth="1"/>
    <col min="4" max="4" width="47.69921875" style="2" customWidth="1"/>
    <col min="5" max="5" width="13.296875" style="1" customWidth="1"/>
    <col min="6" max="6" width="9.09765625" style="1" customWidth="1"/>
    <col min="7" max="7" width="16.296875" style="1" customWidth="1"/>
    <col min="8" max="8" width="12.5" style="1" customWidth="1"/>
    <col min="9" max="9" width="3.3984375" style="1" customWidth="1"/>
    <col min="10" max="10" width="3.5" style="1" customWidth="1"/>
    <col min="11" max="11" width="58.09765625" style="1" customWidth="1"/>
    <col min="12" max="12" width="13.296875" style="1" customWidth="1"/>
    <col min="13" max="13" width="9.09765625" style="1" customWidth="1"/>
    <col min="14" max="14" width="13.296875" style="1" customWidth="1"/>
    <col min="15" max="15" width="9.09765625" style="1" customWidth="1"/>
    <col min="16" max="16" width="3.8984375" style="1" customWidth="1"/>
    <col min="17" max="26" width="8.796875" style="1"/>
    <col min="27" max="27" width="0" style="1" hidden="1" customWidth="1"/>
    <col min="28" max="39" width="8.796875" style="1"/>
    <col min="40" max="41" width="8.796875" style="1" customWidth="1"/>
    <col min="42" max="42" width="8.796875" style="1"/>
    <col min="43" max="43" width="8.796875" style="1" customWidth="1"/>
    <col min="44" max="16384" width="8.796875" style="1"/>
  </cols>
  <sheetData>
    <row r="1" spans="1:36" ht="13.8" customHeight="1">
      <c r="A1" s="84"/>
      <c r="B1" s="265" t="s">
        <v>241</v>
      </c>
      <c r="C1" s="265"/>
      <c r="D1" s="3"/>
      <c r="E1" s="4"/>
      <c r="F1" s="268"/>
      <c r="G1" s="268"/>
      <c r="H1" s="268"/>
      <c r="I1" s="4"/>
      <c r="J1" s="264" t="s">
        <v>13</v>
      </c>
      <c r="K1" s="264"/>
      <c r="L1" s="4"/>
      <c r="M1" s="4"/>
      <c r="N1" s="4"/>
      <c r="O1" s="4"/>
      <c r="P1" s="4"/>
    </row>
    <row r="2" spans="1:36" ht="13.8" customHeight="1">
      <c r="A2" s="84"/>
      <c r="B2" s="266"/>
      <c r="C2" s="266"/>
      <c r="D2" s="5"/>
      <c r="E2" s="6"/>
      <c r="F2" s="269"/>
      <c r="G2" s="269"/>
      <c r="H2" s="269"/>
      <c r="I2" s="4"/>
      <c r="J2" s="267"/>
      <c r="K2" s="267"/>
      <c r="L2" s="270" t="s">
        <v>328</v>
      </c>
      <c r="M2" s="252"/>
      <c r="N2" s="252" t="s">
        <v>329</v>
      </c>
      <c r="O2" s="253"/>
      <c r="P2" s="4"/>
    </row>
    <row r="3" spans="1:36" ht="13.8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8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8" customHeight="1">
      <c r="A5" s="85">
        <v>1</v>
      </c>
      <c r="B5" s="129"/>
      <c r="C5" s="130"/>
      <c r="D5" s="62"/>
      <c r="E5" s="101"/>
      <c r="F5" s="64"/>
      <c r="G5" s="65"/>
      <c r="H5" s="215" t="str">
        <f t="shared" ref="H5:H36" si="0">IF(OR(B5="*",C5=""),"",IF(OR(E5="",F5=""),"-",""))</f>
        <v/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8" customHeight="1">
      <c r="A6" s="85">
        <v>2</v>
      </c>
      <c r="B6" s="129"/>
      <c r="C6" s="130"/>
      <c r="D6" s="62"/>
      <c r="E6" s="101"/>
      <c r="F6" s="64"/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0</v>
      </c>
    </row>
    <row r="7" spans="1:36" ht="13.8" customHeight="1">
      <c r="A7" s="85">
        <v>3</v>
      </c>
      <c r="B7" s="129"/>
      <c r="C7" s="130"/>
      <c r="D7" s="62"/>
      <c r="E7" s="101"/>
      <c r="F7" s="64"/>
      <c r="G7" s="65"/>
      <c r="H7" s="215" t="str">
        <f t="shared" si="0"/>
        <v/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8" customHeight="1">
      <c r="A8" s="85">
        <v>4</v>
      </c>
      <c r="B8" s="129"/>
      <c r="C8" s="130"/>
      <c r="D8" s="62"/>
      <c r="E8" s="101"/>
      <c r="F8" s="64"/>
      <c r="G8" s="65"/>
      <c r="H8" s="215" t="str">
        <f t="shared" si="0"/>
        <v/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8" customHeight="1">
      <c r="A9" s="85">
        <v>5</v>
      </c>
      <c r="B9" s="129"/>
      <c r="C9" s="130"/>
      <c r="D9" s="62"/>
      <c r="E9" s="101"/>
      <c r="F9" s="64"/>
      <c r="G9" s="65"/>
      <c r="H9" s="215" t="str">
        <f t="shared" si="0"/>
        <v/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8" customHeight="1">
      <c r="A10" s="85">
        <v>6</v>
      </c>
      <c r="B10" s="129"/>
      <c r="C10" s="130"/>
      <c r="D10" s="62"/>
      <c r="E10" s="101"/>
      <c r="F10" s="64"/>
      <c r="G10" s="65"/>
      <c r="H10" s="215" t="str">
        <f t="shared" si="0"/>
        <v/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8" customHeight="1">
      <c r="A11" s="85">
        <v>7</v>
      </c>
      <c r="B11" s="129"/>
      <c r="C11" s="130"/>
      <c r="D11" s="62"/>
      <c r="E11" s="101"/>
      <c r="F11" s="64"/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0</v>
      </c>
    </row>
    <row r="12" spans="1:36" ht="13.8" customHeight="1">
      <c r="A12" s="85">
        <v>8</v>
      </c>
      <c r="B12" s="129"/>
      <c r="C12" s="130"/>
      <c r="D12" s="62"/>
      <c r="E12" s="101"/>
      <c r="F12" s="64"/>
      <c r="G12" s="65"/>
      <c r="H12" s="215" t="str">
        <f t="shared" si="0"/>
        <v/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8" customHeight="1">
      <c r="A13" s="85">
        <v>9</v>
      </c>
      <c r="B13" s="129"/>
      <c r="C13" s="130"/>
      <c r="D13" s="62"/>
      <c r="E13" s="101"/>
      <c r="F13" s="64"/>
      <c r="G13" s="65"/>
      <c r="H13" s="215" t="str">
        <f t="shared" si="0"/>
        <v/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8" customHeight="1">
      <c r="A14" s="85">
        <v>10</v>
      </c>
      <c r="B14" s="129"/>
      <c r="C14" s="130"/>
      <c r="D14" s="62"/>
      <c r="E14" s="101"/>
      <c r="F14" s="64"/>
      <c r="G14" s="65"/>
      <c r="H14" s="215" t="str">
        <f t="shared" si="0"/>
        <v/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8" customHeight="1">
      <c r="A15" s="85">
        <v>11</v>
      </c>
      <c r="B15" s="129"/>
      <c r="C15" s="130"/>
      <c r="D15" s="62"/>
      <c r="E15" s="101"/>
      <c r="F15" s="64"/>
      <c r="G15" s="65"/>
      <c r="H15" s="215" t="str">
        <f t="shared" si="0"/>
        <v/>
      </c>
      <c r="I15" s="4"/>
      <c r="J15" s="263" t="s">
        <v>369</v>
      </c>
      <c r="K15" s="263"/>
      <c r="L15" s="4"/>
      <c r="M15" s="4"/>
      <c r="N15" s="4"/>
      <c r="O15" s="4"/>
      <c r="P15" s="4"/>
      <c r="AA15" s="108">
        <f t="shared" si="1"/>
        <v>0</v>
      </c>
    </row>
    <row r="16" spans="1:36" ht="13.8" customHeight="1">
      <c r="A16" s="85">
        <v>12</v>
      </c>
      <c r="B16" s="129"/>
      <c r="C16" s="130"/>
      <c r="D16" s="62"/>
      <c r="E16" s="101"/>
      <c r="F16" s="64"/>
      <c r="G16" s="65"/>
      <c r="H16" s="215" t="str">
        <f t="shared" si="0"/>
        <v/>
      </c>
      <c r="I16" s="4"/>
      <c r="J16" s="264"/>
      <c r="K16" s="264"/>
      <c r="L16" s="4"/>
      <c r="M16" s="4"/>
      <c r="N16" s="4"/>
      <c r="O16" s="4"/>
      <c r="P16" s="4"/>
      <c r="AA16" s="108">
        <f t="shared" si="1"/>
        <v>0</v>
      </c>
    </row>
    <row r="17" spans="1:27" ht="13.8" customHeight="1">
      <c r="A17" s="85">
        <v>13</v>
      </c>
      <c r="B17" s="129"/>
      <c r="C17" s="130"/>
      <c r="D17" s="62"/>
      <c r="E17" s="101"/>
      <c r="F17" s="64"/>
      <c r="G17" s="65"/>
      <c r="H17" s="215" t="str">
        <f t="shared" si="0"/>
        <v/>
      </c>
      <c r="I17" s="4"/>
      <c r="J17" s="254" t="s">
        <v>652</v>
      </c>
      <c r="K17" s="255"/>
      <c r="L17" s="255"/>
      <c r="M17" s="255"/>
      <c r="N17" s="255"/>
      <c r="O17" s="256"/>
      <c r="P17" s="4"/>
      <c r="AA17" s="108">
        <f t="shared" si="1"/>
        <v>0</v>
      </c>
    </row>
    <row r="18" spans="1:27" ht="13.8" customHeight="1">
      <c r="A18" s="85">
        <v>14</v>
      </c>
      <c r="B18" s="129"/>
      <c r="C18" s="130"/>
      <c r="D18" s="62"/>
      <c r="E18" s="101"/>
      <c r="F18" s="64"/>
      <c r="G18" s="65"/>
      <c r="H18" s="215" t="str">
        <f t="shared" si="0"/>
        <v/>
      </c>
      <c r="I18" s="4"/>
      <c r="J18" s="257"/>
      <c r="K18" s="258"/>
      <c r="L18" s="258"/>
      <c r="M18" s="258"/>
      <c r="N18" s="258"/>
      <c r="O18" s="259"/>
      <c r="P18" s="4"/>
      <c r="AA18" s="108">
        <f t="shared" si="1"/>
        <v>0</v>
      </c>
    </row>
    <row r="19" spans="1:27" ht="13.8" customHeight="1">
      <c r="A19" s="85">
        <v>15</v>
      </c>
      <c r="B19" s="129"/>
      <c r="C19" s="130"/>
      <c r="D19" s="62"/>
      <c r="E19" s="101"/>
      <c r="F19" s="64"/>
      <c r="G19" s="65"/>
      <c r="H19" s="215" t="str">
        <f t="shared" si="0"/>
        <v/>
      </c>
      <c r="I19" s="4"/>
      <c r="J19" s="257"/>
      <c r="K19" s="258"/>
      <c r="L19" s="258"/>
      <c r="M19" s="258"/>
      <c r="N19" s="258"/>
      <c r="O19" s="259"/>
      <c r="P19" s="4"/>
      <c r="AA19" s="108">
        <f t="shared" si="1"/>
        <v>0</v>
      </c>
    </row>
    <row r="20" spans="1:27" ht="13.8" customHeight="1">
      <c r="A20" s="85">
        <v>16</v>
      </c>
      <c r="B20" s="129"/>
      <c r="C20" s="130"/>
      <c r="D20" s="62"/>
      <c r="E20" s="101"/>
      <c r="F20" s="64"/>
      <c r="G20" s="65"/>
      <c r="H20" s="215" t="str">
        <f t="shared" si="0"/>
        <v/>
      </c>
      <c r="I20" s="4"/>
      <c r="J20" s="257"/>
      <c r="K20" s="258"/>
      <c r="L20" s="258"/>
      <c r="M20" s="258"/>
      <c r="N20" s="258"/>
      <c r="O20" s="259"/>
      <c r="P20" s="4"/>
      <c r="AA20" s="108">
        <f t="shared" si="1"/>
        <v>0</v>
      </c>
    </row>
    <row r="21" spans="1:27" ht="13.8" customHeight="1">
      <c r="A21" s="85">
        <v>17</v>
      </c>
      <c r="B21" s="129"/>
      <c r="C21" s="130"/>
      <c r="D21" s="62"/>
      <c r="E21" s="101"/>
      <c r="F21" s="64"/>
      <c r="G21" s="65"/>
      <c r="H21" s="215" t="str">
        <f t="shared" si="0"/>
        <v/>
      </c>
      <c r="I21" s="4"/>
      <c r="J21" s="257"/>
      <c r="K21" s="258"/>
      <c r="L21" s="258"/>
      <c r="M21" s="258"/>
      <c r="N21" s="258"/>
      <c r="O21" s="259"/>
      <c r="P21" s="4"/>
      <c r="AA21" s="108">
        <f t="shared" si="1"/>
        <v>0</v>
      </c>
    </row>
    <row r="22" spans="1:27" ht="13.8" customHeight="1">
      <c r="A22" s="85">
        <v>18</v>
      </c>
      <c r="B22" s="129"/>
      <c r="C22" s="130"/>
      <c r="D22" s="63"/>
      <c r="E22" s="101"/>
      <c r="F22" s="64"/>
      <c r="G22" s="65"/>
      <c r="H22" s="215" t="str">
        <f t="shared" si="0"/>
        <v/>
      </c>
      <c r="I22" s="4"/>
      <c r="J22" s="257"/>
      <c r="K22" s="258"/>
      <c r="L22" s="258"/>
      <c r="M22" s="258"/>
      <c r="N22" s="258"/>
      <c r="O22" s="259"/>
      <c r="P22" s="4"/>
      <c r="AA22" s="108">
        <f t="shared" si="1"/>
        <v>0</v>
      </c>
    </row>
    <row r="23" spans="1:27" ht="13.8" customHeight="1">
      <c r="A23" s="85">
        <v>19</v>
      </c>
      <c r="B23" s="129"/>
      <c r="C23" s="130"/>
      <c r="D23" s="62"/>
      <c r="E23" s="101"/>
      <c r="F23" s="64"/>
      <c r="G23" s="65"/>
      <c r="H23" s="215" t="str">
        <f t="shared" si="0"/>
        <v/>
      </c>
      <c r="I23" s="4"/>
      <c r="J23" s="257"/>
      <c r="K23" s="258"/>
      <c r="L23" s="258"/>
      <c r="M23" s="258"/>
      <c r="N23" s="258"/>
      <c r="O23" s="259"/>
      <c r="P23" s="4"/>
      <c r="AA23" s="108">
        <f t="shared" si="1"/>
        <v>0</v>
      </c>
    </row>
    <row r="24" spans="1:27" ht="13.8" customHeight="1">
      <c r="A24" s="85">
        <v>20</v>
      </c>
      <c r="B24" s="129"/>
      <c r="C24" s="130"/>
      <c r="D24" s="62"/>
      <c r="E24" s="101"/>
      <c r="F24" s="64"/>
      <c r="G24" s="65"/>
      <c r="H24" s="215" t="str">
        <f t="shared" si="0"/>
        <v/>
      </c>
      <c r="I24" s="4"/>
      <c r="J24" s="260"/>
      <c r="K24" s="261"/>
      <c r="L24" s="261"/>
      <c r="M24" s="261"/>
      <c r="N24" s="261"/>
      <c r="O24" s="262"/>
      <c r="P24" s="4"/>
      <c r="AA24" s="108">
        <f t="shared" si="1"/>
        <v>0</v>
      </c>
    </row>
    <row r="25" spans="1:27" ht="13.8" customHeight="1">
      <c r="A25" s="85">
        <v>21</v>
      </c>
      <c r="B25" s="129"/>
      <c r="C25" s="130"/>
      <c r="D25" s="62"/>
      <c r="E25" s="101"/>
      <c r="F25" s="64"/>
      <c r="G25" s="65"/>
      <c r="H25" s="215" t="str">
        <f t="shared" si="0"/>
        <v/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8" customHeight="1">
      <c r="A26" s="85">
        <v>22</v>
      </c>
      <c r="B26" s="129"/>
      <c r="C26" s="130"/>
      <c r="D26" s="62"/>
      <c r="E26" s="101"/>
      <c r="F26" s="64"/>
      <c r="G26" s="65"/>
      <c r="H26" s="215" t="str">
        <f t="shared" si="0"/>
        <v/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0</v>
      </c>
    </row>
    <row r="27" spans="1:27" ht="13.8" customHeight="1">
      <c r="A27" s="85">
        <v>23</v>
      </c>
      <c r="B27" s="129"/>
      <c r="C27" s="130"/>
      <c r="D27" s="62"/>
      <c r="E27" s="101"/>
      <c r="F27" s="64"/>
      <c r="G27" s="65"/>
      <c r="H27" s="215" t="str">
        <f t="shared" si="0"/>
        <v/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8" customHeight="1">
      <c r="A28" s="85">
        <v>24</v>
      </c>
      <c r="B28" s="129"/>
      <c r="C28" s="130"/>
      <c r="D28" s="62"/>
      <c r="E28" s="101"/>
      <c r="F28" s="64"/>
      <c r="G28" s="65"/>
      <c r="H28" s="215" t="str">
        <f t="shared" si="0"/>
        <v/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0</v>
      </c>
    </row>
    <row r="29" spans="1:27" ht="13.8" customHeight="1">
      <c r="A29" s="85">
        <v>25</v>
      </c>
      <c r="B29" s="129"/>
      <c r="C29" s="130"/>
      <c r="D29" s="62"/>
      <c r="E29" s="101"/>
      <c r="F29" s="64"/>
      <c r="G29" s="65"/>
      <c r="H29" s="215" t="str">
        <f t="shared" si="0"/>
        <v/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8" customHeight="1">
      <c r="A30" s="85">
        <v>26</v>
      </c>
      <c r="B30" s="129"/>
      <c r="C30" s="130"/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0</v>
      </c>
    </row>
    <row r="31" spans="1:27" ht="13.8" customHeight="1">
      <c r="A31" s="85">
        <v>27</v>
      </c>
      <c r="B31" s="129"/>
      <c r="C31" s="130"/>
      <c r="D31" s="62"/>
      <c r="E31" s="101"/>
      <c r="F31" s="64"/>
      <c r="G31" s="65"/>
      <c r="H31" s="215" t="str">
        <f t="shared" si="0"/>
        <v/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8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8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8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8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8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8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8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8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8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8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8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8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8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8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8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8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8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8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8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8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8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8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8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8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8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8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8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8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8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8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8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8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8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8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8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8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8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8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8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8" customHeight="1">
      <c r="A71" s="114"/>
      <c r="B71" s="115"/>
      <c r="C71" s="115"/>
      <c r="D71" s="115"/>
      <c r="E71" s="115"/>
      <c r="F71" s="115"/>
      <c r="G71" s="115"/>
      <c r="H71" s="115"/>
    </row>
  </sheetData>
  <sheetProtection sheet="1" objects="1" scenarios="1"/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BAD72760-4707-4136-BE45-CDAD03D89ED5}">
          <x14:formula1>
            <xm:f>Sheet3!$A$101:$A$330</xm:f>
          </x14:formula1>
          <xm:sqref>C5:C54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>
      <selection activeCell="F4" sqref="F4:G4"/>
    </sheetView>
  </sheetViews>
  <sheetFormatPr defaultRowHeight="15" customHeight="1"/>
  <cols>
    <col min="1" max="1" width="3.3984375" style="45" customWidth="1"/>
    <col min="2" max="2" width="32.796875" style="45" customWidth="1"/>
    <col min="3" max="7" width="16.59765625" style="47" customWidth="1"/>
    <col min="8" max="9" width="3.3984375" style="45" customWidth="1"/>
    <col min="10" max="14" width="14" style="174" customWidth="1"/>
    <col min="15" max="15" width="3.3984375" style="174" customWidth="1"/>
    <col min="16" max="20" width="14" style="174" customWidth="1"/>
    <col min="21" max="21" width="3.3984375" style="174" customWidth="1"/>
    <col min="22" max="26" width="14" style="174" customWidth="1"/>
    <col min="27" max="27" width="3.3984375" style="174" customWidth="1"/>
    <col min="28" max="32" width="14" style="174" customWidth="1"/>
    <col min="33" max="33" width="3.3984375" style="174" customWidth="1"/>
    <col min="34" max="38" width="14" style="174" customWidth="1"/>
    <col min="39" max="39" width="3.3984375" style="174" customWidth="1"/>
    <col min="40" max="44" width="14" style="174" customWidth="1"/>
    <col min="45" max="45" width="3.3984375" style="174" customWidth="1"/>
    <col min="46" max="50" width="14" style="174" customWidth="1"/>
    <col min="51" max="51" width="3.3984375" style="174" customWidth="1"/>
    <col min="52" max="56" width="14" style="174" customWidth="1"/>
    <col min="57" max="57" width="3.3984375" style="174" customWidth="1"/>
    <col min="58" max="62" width="14" style="174" customWidth="1"/>
    <col min="63" max="16384" width="8.796875" style="45"/>
  </cols>
  <sheetData>
    <row r="1" spans="1:78" ht="15" customHeight="1">
      <c r="A1" s="38"/>
      <c r="B1" s="265" t="s">
        <v>240</v>
      </c>
      <c r="C1" s="27"/>
      <c r="D1" s="27"/>
      <c r="E1" s="27"/>
      <c r="F1" s="27"/>
      <c r="G1" s="27"/>
      <c r="H1" s="38"/>
      <c r="J1" s="271" t="s">
        <v>645</v>
      </c>
      <c r="K1" s="272"/>
      <c r="L1" s="272"/>
      <c r="M1" s="272"/>
      <c r="N1" s="273"/>
    </row>
    <row r="2" spans="1:78" ht="15" customHeight="1">
      <c r="A2" s="38"/>
      <c r="B2" s="265"/>
      <c r="C2" s="27"/>
      <c r="D2" s="27"/>
      <c r="E2" s="173"/>
      <c r="F2" s="173"/>
      <c r="G2" s="27"/>
      <c r="H2" s="38"/>
      <c r="J2" s="203" t="s">
        <v>341</v>
      </c>
      <c r="K2" s="209">
        <v>37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/>
      <c r="D4" s="177" t="s">
        <v>323</v>
      </c>
      <c r="E4" s="27"/>
      <c r="F4" s="278"/>
      <c r="G4" s="279"/>
      <c r="H4" s="38"/>
    </row>
    <row r="5" spans="1:78" ht="15" customHeight="1">
      <c r="A5" s="38"/>
      <c r="B5" s="44" t="s">
        <v>224</v>
      </c>
      <c r="C5" s="48"/>
      <c r="D5" s="177" t="s">
        <v>226</v>
      </c>
      <c r="E5" s="27"/>
      <c r="F5" s="274"/>
      <c r="G5" s="275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/>
      <c r="D6" s="177" t="s">
        <v>273</v>
      </c>
      <c r="E6" s="27"/>
      <c r="F6" s="276" t="str">
        <f>IF('Navarik 설정'!C22="","",'Navarik 설정'!C22)</f>
        <v>BOCHEM PEGASOS</v>
      </c>
      <c r="G6" s="277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/>
      <c r="D7" s="177" t="s">
        <v>326</v>
      </c>
      <c r="E7" s="27"/>
      <c r="F7" s="66"/>
      <c r="G7" s="212" t="s">
        <v>397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411</v>
      </c>
      <c r="C10" s="27" t="s">
        <v>3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 t="str">
        <f>IF(C12="","",C12)</f>
        <v/>
      </c>
      <c r="D11" s="33" t="str">
        <f t="shared" ref="D11:G11" si="0">IF(D12="","",D12)</f>
        <v/>
      </c>
      <c r="E11" s="33" t="str">
        <f t="shared" si="0"/>
        <v/>
      </c>
      <c r="F11" s="34" t="str">
        <f t="shared" si="0"/>
        <v/>
      </c>
      <c r="G11" s="32" t="str">
        <f t="shared" si="0"/>
        <v/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648</v>
      </c>
      <c r="C12" s="29"/>
      <c r="D12" s="30"/>
      <c r="E12" s="30"/>
      <c r="F12" s="31"/>
      <c r="G12" s="29"/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 t="str">
        <f>IF(C12="","",C12)</f>
        <v/>
      </c>
      <c r="D13" s="33" t="str">
        <f t="shared" ref="D13:G13" si="1">IF(D12="","",D12)</f>
        <v/>
      </c>
      <c r="E13" s="33" t="str">
        <f t="shared" si="1"/>
        <v/>
      </c>
      <c r="F13" s="34" t="str">
        <f t="shared" si="1"/>
        <v/>
      </c>
      <c r="G13" s="32" t="str">
        <f t="shared" si="1"/>
        <v/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/>
      <c r="D15" s="46"/>
      <c r="E15" s="210" t="s">
        <v>651</v>
      </c>
      <c r="F15" s="39" t="s">
        <v>199</v>
      </c>
      <c r="G15" s="28"/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/>
      <c r="D16" s="26" t="s">
        <v>349</v>
      </c>
      <c r="E16" s="211" t="s">
        <v>398</v>
      </c>
      <c r="F16" s="39" t="s">
        <v>200</v>
      </c>
      <c r="G16" s="35"/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3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649</v>
      </c>
      <c r="C24" s="168" t="str">
        <f>IF(C25="","",C25)</f>
        <v/>
      </c>
      <c r="D24" s="169" t="str">
        <f>IF(D25="","",D25)</f>
        <v/>
      </c>
      <c r="E24" s="169" t="str">
        <f>IF(E25="","",E25)</f>
        <v/>
      </c>
      <c r="F24" s="172" t="str">
        <f>IF(F25="","",F25)</f>
        <v/>
      </c>
      <c r="G24" s="170" t="str">
        <f t="shared" ref="G24" si="6">IF(G25="","",G25)</f>
        <v/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650</v>
      </c>
      <c r="C25" s="165"/>
      <c r="D25" s="166"/>
      <c r="E25" s="166"/>
      <c r="F25" s="171"/>
      <c r="G25" s="167"/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customHeight="1">
      <c r="A26" s="38"/>
      <c r="B26" s="38" t="s">
        <v>216</v>
      </c>
      <c r="C26" s="168" t="str">
        <f>IF(C25="","",C25)</f>
        <v/>
      </c>
      <c r="D26" s="169" t="str">
        <f t="shared" ref="D26:G26" si="7">IF(D25="","",D25)</f>
        <v/>
      </c>
      <c r="E26" s="169" t="str">
        <f t="shared" si="7"/>
        <v/>
      </c>
      <c r="F26" s="172" t="str">
        <f t="shared" si="7"/>
        <v/>
      </c>
      <c r="G26" s="170" t="str">
        <f t="shared" si="7"/>
        <v/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/>
      </c>
      <c r="D28" s="27"/>
      <c r="E28" s="27"/>
      <c r="F28" s="39" t="s">
        <v>199</v>
      </c>
      <c r="G28" s="106" t="str">
        <f>IF(G15="","",G15)</f>
        <v/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/>
      <c r="D29" s="37" t="str">
        <f>IF(D16="","",D16)</f>
        <v>°F</v>
      </c>
      <c r="E29" s="27"/>
      <c r="F29" s="39" t="s">
        <v>200</v>
      </c>
      <c r="G29" s="107" t="str">
        <f>IF(G16="","",G16)</f>
        <v/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646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350</v>
      </c>
      <c r="C36" s="142" t="str">
        <f>IF(OR(C12="",C25=""),"",C25-C12)</f>
        <v/>
      </c>
      <c r="D36" s="142" t="str">
        <f>IF(OR(D12="",D25=""),"",D25-D12)</f>
        <v/>
      </c>
      <c r="E36" s="142" t="str">
        <f>IF(OR(E12="",E25=""),"",E25-E12)</f>
        <v/>
      </c>
      <c r="F36" s="142" t="str">
        <f>IF(OR(F12="",F25=""),"",F25-F12)</f>
        <v/>
      </c>
      <c r="G36" s="142" t="str">
        <f>IF(OR(G12="",G25=""),"",G25-G12)</f>
        <v/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351</v>
      </c>
      <c r="C37" s="143" t="str">
        <f>IF(OR(C12="",C25=""),"",C36/C12*100)</f>
        <v/>
      </c>
      <c r="D37" s="143" t="str">
        <f t="shared" ref="D37:G37" si="8">IF(OR(D12="",D25=""),"",D36/D12*100)</f>
        <v/>
      </c>
      <c r="E37" s="143" t="str">
        <f t="shared" si="8"/>
        <v/>
      </c>
      <c r="F37" s="143" t="str">
        <f t="shared" si="8"/>
        <v/>
      </c>
      <c r="G37" s="143" t="str">
        <f t="shared" si="8"/>
        <v/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 formatRows="0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5" t="s">
        <v>229</v>
      </c>
      <c r="C1" s="285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5"/>
      <c r="C2" s="285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7"/>
      <c r="G3" s="287"/>
      <c r="H3" s="287"/>
      <c r="I3" s="287"/>
      <c r="J3" s="27" t="str">
        <f>IF(F2=1,"","결과 입력 (셀 범위 Q1 ~ AD82)")</f>
        <v/>
      </c>
      <c r="K3" s="7"/>
      <c r="L3" s="281" t="str">
        <f>IF(F2&gt;=2,"Add New Sample (2)","")</f>
        <v/>
      </c>
      <c r="M3" s="281"/>
      <c r="N3" s="281"/>
      <c r="O3" s="38"/>
      <c r="P3" s="281" t="str">
        <f>IF(F2&gt;=3,"Add New Sample (3)","")</f>
        <v/>
      </c>
      <c r="Q3" s="281"/>
      <c r="R3" s="281"/>
      <c r="S3" s="38"/>
      <c r="T3" s="281" t="str">
        <f>IF(F2&gt;=4,"Add New Sample (4)","")</f>
        <v/>
      </c>
      <c r="U3" s="281"/>
      <c r="V3" s="281"/>
      <c r="W3" s="38"/>
      <c r="X3" s="281" t="str">
        <f>IF(F2&gt;=5,"Add New Sample (5)","")</f>
        <v/>
      </c>
      <c r="Y3" s="281"/>
      <c r="Z3" s="281"/>
      <c r="AA3" s="38"/>
      <c r="AB3" s="281" t="str">
        <f>IF(F2&gt;=6,"Add New Sample (6)","")</f>
        <v/>
      </c>
      <c r="AC3" s="281"/>
      <c r="AD3" s="281"/>
      <c r="AE3" s="38"/>
      <c r="AF3" s="281" t="str">
        <f>IF(F2&gt;=7,"Add New Sample (7)","")</f>
        <v/>
      </c>
      <c r="AG3" s="281"/>
      <c r="AH3" s="281"/>
      <c r="AI3" s="38"/>
      <c r="AJ3" s="281" t="str">
        <f>IF(F2&gt;=8,"Add New Sample (8)","")</f>
        <v/>
      </c>
      <c r="AK3" s="281"/>
      <c r="AL3" s="281"/>
      <c r="AM3" s="38"/>
      <c r="AN3" s="281" t="str">
        <f>IF(F2&gt;=9,"Add New Sample (9)","")</f>
        <v/>
      </c>
      <c r="AO3" s="281"/>
      <c r="AP3" s="281"/>
      <c r="AQ3" s="38"/>
      <c r="AR3" s="281" t="str">
        <f>IF(F2&gt;=10,"Add New Sample (10)","")</f>
        <v/>
      </c>
      <c r="AS3" s="281"/>
      <c r="AT3" s="281"/>
      <c r="AU3" s="38"/>
      <c r="AV3" s="281" t="str">
        <f>IF(F2&gt;=11,"Add New Sample (11)","")</f>
        <v/>
      </c>
      <c r="AW3" s="281"/>
      <c r="AX3" s="281"/>
      <c r="AY3" s="38"/>
      <c r="AZ3" s="281" t="str">
        <f>IF(F2&gt;=12,"Add New Sample (12)","")</f>
        <v/>
      </c>
      <c r="BA3" s="281"/>
      <c r="BB3" s="281"/>
      <c r="BC3" s="38"/>
      <c r="BD3" s="281" t="str">
        <f>IF(F2&gt;=13,"Add New Sample (13)","")</f>
        <v/>
      </c>
      <c r="BE3" s="281"/>
      <c r="BF3" s="281"/>
      <c r="BG3" s="38"/>
      <c r="BH3" s="281" t="str">
        <f>IF(F2&gt;=14,"Add New Sample (14)","")</f>
        <v/>
      </c>
      <c r="BI3" s="281"/>
      <c r="BJ3" s="281"/>
      <c r="BK3" s="38"/>
      <c r="BL3" s="281" t="str">
        <f>IF(F2&gt;=15,"Add New Sample (15)","")</f>
        <v/>
      </c>
      <c r="BM3" s="281"/>
      <c r="BN3" s="281"/>
      <c r="BO3" s="38"/>
      <c r="BP3" s="281" t="str">
        <f>IF(F2&gt;=16,"Add New Sample (16)","")</f>
        <v/>
      </c>
      <c r="BQ3" s="281"/>
      <c r="BR3" s="281"/>
      <c r="BS3" s="38"/>
      <c r="BT3" s="281" t="str">
        <f>IF(F2&gt;=17,"Add New Sample (17)","")</f>
        <v/>
      </c>
      <c r="BU3" s="281"/>
      <c r="BV3" s="281"/>
      <c r="BW3" s="7"/>
    </row>
    <row r="4" spans="1:75">
      <c r="A4" s="94"/>
      <c r="B4" s="44"/>
      <c r="C4" s="44"/>
      <c r="D4" s="121"/>
      <c r="E4" s="131" t="s">
        <v>5</v>
      </c>
      <c r="F4" s="286"/>
      <c r="G4" s="286"/>
      <c r="H4" s="286"/>
      <c r="I4" s="286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266</v>
      </c>
      <c r="D5" s="122" t="s">
        <v>195</v>
      </c>
      <c r="E5" s="122" t="s">
        <v>17</v>
      </c>
      <c r="F5" s="283" t="s">
        <v>268</v>
      </c>
      <c r="G5" s="283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80"/>
      <c r="G85" s="280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5" t="s">
        <v>230</v>
      </c>
      <c r="C1" s="285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5"/>
      <c r="C2" s="285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7"/>
      <c r="G3" s="287"/>
      <c r="H3" s="287"/>
      <c r="I3" s="287"/>
      <c r="J3" s="27" t="str">
        <f>IF(F2=1,"","결과 입력 (셀 범위 Q1 ~ AD82)")</f>
        <v/>
      </c>
      <c r="K3" s="7"/>
      <c r="L3" s="281" t="str">
        <f>IF(F2&gt;=2,"Add New Sample (2)","")</f>
        <v/>
      </c>
      <c r="M3" s="281"/>
      <c r="N3" s="281"/>
      <c r="O3" s="38"/>
      <c r="P3" s="281" t="str">
        <f>IF(F2&gt;=3,"Add New Sample (3)","")</f>
        <v/>
      </c>
      <c r="Q3" s="281"/>
      <c r="R3" s="281"/>
      <c r="S3" s="38"/>
      <c r="T3" s="281" t="str">
        <f>IF(F2&gt;=4,"Add New Sample (4)","")</f>
        <v/>
      </c>
      <c r="U3" s="281"/>
      <c r="V3" s="281"/>
      <c r="W3" s="38"/>
      <c r="X3" s="281" t="str">
        <f>IF(F2&gt;=5,"Add New Sample (5)","")</f>
        <v/>
      </c>
      <c r="Y3" s="281"/>
      <c r="Z3" s="281"/>
      <c r="AA3" s="38"/>
      <c r="AB3" s="281" t="str">
        <f>IF(F2&gt;=6,"Add New Sample (6)","")</f>
        <v/>
      </c>
      <c r="AC3" s="281"/>
      <c r="AD3" s="281"/>
      <c r="AE3" s="38"/>
      <c r="AF3" s="281" t="str">
        <f>IF(F2&gt;=7,"Add New Sample (7)","")</f>
        <v/>
      </c>
      <c r="AG3" s="281"/>
      <c r="AH3" s="281"/>
      <c r="AI3" s="38"/>
      <c r="AJ3" s="281" t="str">
        <f>IF(F2&gt;=8,"Add New Sample (8)","")</f>
        <v/>
      </c>
      <c r="AK3" s="281"/>
      <c r="AL3" s="281"/>
      <c r="AM3" s="38"/>
      <c r="AN3" s="281" t="str">
        <f>IF(F2&gt;=9,"Add New Sample (9)","")</f>
        <v/>
      </c>
      <c r="AO3" s="281"/>
      <c r="AP3" s="281"/>
      <c r="AQ3" s="38"/>
      <c r="AR3" s="281" t="str">
        <f>IF(F2&gt;=10,"Add New Sample (10)","")</f>
        <v/>
      </c>
      <c r="AS3" s="281"/>
      <c r="AT3" s="281"/>
      <c r="AU3" s="38"/>
      <c r="AV3" s="281" t="str">
        <f>IF(F2&gt;=11,"Add New Sample (11)","")</f>
        <v/>
      </c>
      <c r="AW3" s="281"/>
      <c r="AX3" s="281"/>
      <c r="AY3" s="38"/>
      <c r="AZ3" s="281" t="str">
        <f>IF(F2&gt;=12,"Add New Sample (12)","")</f>
        <v/>
      </c>
      <c r="BA3" s="281"/>
      <c r="BB3" s="281"/>
      <c r="BC3" s="38"/>
      <c r="BD3" s="281" t="str">
        <f>IF(F2&gt;=13,"Add New Sample (13)","")</f>
        <v/>
      </c>
      <c r="BE3" s="281"/>
      <c r="BF3" s="281"/>
      <c r="BG3" s="38"/>
      <c r="BH3" s="281" t="str">
        <f>IF(F2&gt;=14,"Add New Sample (14)","")</f>
        <v/>
      </c>
      <c r="BI3" s="281"/>
      <c r="BJ3" s="281"/>
      <c r="BK3" s="38"/>
      <c r="BL3" s="281" t="str">
        <f>IF(F2&gt;=15,"Add New Sample (15)","")</f>
        <v/>
      </c>
      <c r="BM3" s="281"/>
      <c r="BN3" s="281"/>
      <c r="BO3" s="38"/>
      <c r="BP3" s="281" t="str">
        <f>IF(F2&gt;=16,"Add New Sample (16)","")</f>
        <v/>
      </c>
      <c r="BQ3" s="281"/>
      <c r="BR3" s="281"/>
      <c r="BS3" s="38"/>
      <c r="BT3" s="281" t="str">
        <f>IF(F2&gt;=17,"Add New Sample (17)","")</f>
        <v/>
      </c>
      <c r="BU3" s="281"/>
      <c r="BV3" s="281"/>
      <c r="BW3" s="7"/>
    </row>
    <row r="4" spans="1:75">
      <c r="A4" s="94"/>
      <c r="B4" s="44"/>
      <c r="C4" s="44"/>
      <c r="D4" s="121"/>
      <c r="E4" s="131" t="s">
        <v>5</v>
      </c>
      <c r="F4" s="286"/>
      <c r="G4" s="286"/>
      <c r="H4" s="286"/>
      <c r="I4" s="286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3" t="s">
        <v>268</v>
      </c>
      <c r="G5" s="283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0"/>
      <c r="G85" s="28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5" t="s">
        <v>232</v>
      </c>
      <c r="C1" s="285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5"/>
      <c r="C2" s="285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7"/>
      <c r="G3" s="287"/>
      <c r="H3" s="287"/>
      <c r="I3" s="287"/>
      <c r="J3" s="27" t="str">
        <f>IF(F2=1,"","결과 입력 (셀 범위 Q1 ~ AD82)")</f>
        <v/>
      </c>
      <c r="K3" s="7"/>
      <c r="L3" s="281" t="str">
        <f>IF(F2&gt;=2,"Add New Sample (2)","")</f>
        <v/>
      </c>
      <c r="M3" s="281"/>
      <c r="N3" s="281"/>
      <c r="O3" s="38"/>
      <c r="P3" s="281" t="str">
        <f>IF(F2&gt;=3,"Add New Sample (3)","")</f>
        <v/>
      </c>
      <c r="Q3" s="281"/>
      <c r="R3" s="281"/>
      <c r="S3" s="38"/>
      <c r="T3" s="281" t="str">
        <f>IF(F2&gt;=4,"Add New Sample (4)","")</f>
        <v/>
      </c>
      <c r="U3" s="281"/>
      <c r="V3" s="281"/>
      <c r="W3" s="38"/>
      <c r="X3" s="281" t="str">
        <f>IF(F2&gt;=5,"Add New Sample (5)","")</f>
        <v/>
      </c>
      <c r="Y3" s="281"/>
      <c r="Z3" s="281"/>
      <c r="AA3" s="38"/>
      <c r="AB3" s="281" t="str">
        <f>IF(F2&gt;=6,"Add New Sample (6)","")</f>
        <v/>
      </c>
      <c r="AC3" s="281"/>
      <c r="AD3" s="281"/>
      <c r="AE3" s="38"/>
      <c r="AF3" s="281" t="str">
        <f>IF(F2&gt;=7,"Add New Sample (7)","")</f>
        <v/>
      </c>
      <c r="AG3" s="281"/>
      <c r="AH3" s="281"/>
      <c r="AI3" s="38"/>
      <c r="AJ3" s="281" t="str">
        <f>IF(F2&gt;=8,"Add New Sample (8)","")</f>
        <v/>
      </c>
      <c r="AK3" s="281"/>
      <c r="AL3" s="281"/>
      <c r="AM3" s="38"/>
      <c r="AN3" s="281" t="str">
        <f>IF(F2&gt;=9,"Add New Sample (9)","")</f>
        <v/>
      </c>
      <c r="AO3" s="281"/>
      <c r="AP3" s="281"/>
      <c r="AQ3" s="38"/>
      <c r="AR3" s="281" t="str">
        <f>IF(F2&gt;=10,"Add New Sample (10)","")</f>
        <v/>
      </c>
      <c r="AS3" s="281"/>
      <c r="AT3" s="281"/>
      <c r="AU3" s="38"/>
      <c r="AV3" s="281" t="str">
        <f>IF(F2&gt;=11,"Add New Sample (11)","")</f>
        <v/>
      </c>
      <c r="AW3" s="281"/>
      <c r="AX3" s="281"/>
      <c r="AY3" s="38"/>
      <c r="AZ3" s="281" t="str">
        <f>IF(F2&gt;=12,"Add New Sample (12)","")</f>
        <v/>
      </c>
      <c r="BA3" s="281"/>
      <c r="BB3" s="281"/>
      <c r="BC3" s="38"/>
      <c r="BD3" s="281" t="str">
        <f>IF(F2&gt;=13,"Add New Sample (13)","")</f>
        <v/>
      </c>
      <c r="BE3" s="281"/>
      <c r="BF3" s="281"/>
      <c r="BG3" s="38"/>
      <c r="BH3" s="281" t="str">
        <f>IF(F2&gt;=14,"Add New Sample (14)","")</f>
        <v/>
      </c>
      <c r="BI3" s="281"/>
      <c r="BJ3" s="281"/>
      <c r="BK3" s="38"/>
      <c r="BL3" s="281" t="str">
        <f>IF(F2&gt;=15,"Add New Sample (15)","")</f>
        <v/>
      </c>
      <c r="BM3" s="281"/>
      <c r="BN3" s="281"/>
      <c r="BO3" s="38"/>
      <c r="BP3" s="281" t="str">
        <f>IF(F2&gt;=16,"Add New Sample (16)","")</f>
        <v/>
      </c>
      <c r="BQ3" s="281"/>
      <c r="BR3" s="281"/>
      <c r="BS3" s="38"/>
      <c r="BT3" s="281" t="str">
        <f>IF(F2&gt;=17,"Add New Sample (17)","")</f>
        <v/>
      </c>
      <c r="BU3" s="281"/>
      <c r="BV3" s="281"/>
      <c r="BW3" s="7"/>
    </row>
    <row r="4" spans="1:75">
      <c r="A4" s="94"/>
      <c r="B4" s="44"/>
      <c r="C4" s="44"/>
      <c r="D4" s="121"/>
      <c r="E4" s="131" t="s">
        <v>5</v>
      </c>
      <c r="F4" s="286"/>
      <c r="G4" s="286"/>
      <c r="H4" s="286"/>
      <c r="I4" s="286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3" t="s">
        <v>268</v>
      </c>
      <c r="G5" s="283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0"/>
      <c r="G85" s="28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5" t="s">
        <v>233</v>
      </c>
      <c r="C1" s="285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5"/>
      <c r="C2" s="285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7"/>
      <c r="G3" s="287"/>
      <c r="H3" s="287"/>
      <c r="I3" s="287"/>
      <c r="J3" s="27" t="str">
        <f>IF(F2=1,"","결과 입력 (셀 범위 Q1 ~ AD82)")</f>
        <v/>
      </c>
      <c r="K3" s="7"/>
      <c r="L3" s="281" t="str">
        <f>IF(F2&gt;=2,"Add New Sample (2)","")</f>
        <v/>
      </c>
      <c r="M3" s="281"/>
      <c r="N3" s="281"/>
      <c r="O3" s="38"/>
      <c r="P3" s="281" t="str">
        <f>IF(F2&gt;=3,"Add New Sample (3)","")</f>
        <v/>
      </c>
      <c r="Q3" s="281"/>
      <c r="R3" s="281"/>
      <c r="S3" s="38"/>
      <c r="T3" s="281" t="str">
        <f>IF(F2&gt;=4,"Add New Sample (4)","")</f>
        <v/>
      </c>
      <c r="U3" s="281"/>
      <c r="V3" s="281"/>
      <c r="W3" s="38"/>
      <c r="X3" s="281" t="str">
        <f>IF(F2&gt;=5,"Add New Sample (5)","")</f>
        <v/>
      </c>
      <c r="Y3" s="281"/>
      <c r="Z3" s="281"/>
      <c r="AA3" s="38"/>
      <c r="AB3" s="281" t="str">
        <f>IF(F2&gt;=6,"Add New Sample (6)","")</f>
        <v/>
      </c>
      <c r="AC3" s="281"/>
      <c r="AD3" s="281"/>
      <c r="AE3" s="38"/>
      <c r="AF3" s="281" t="str">
        <f>IF(F2&gt;=7,"Add New Sample (7)","")</f>
        <v/>
      </c>
      <c r="AG3" s="281"/>
      <c r="AH3" s="281"/>
      <c r="AI3" s="38"/>
      <c r="AJ3" s="281" t="str">
        <f>IF(F2&gt;=8,"Add New Sample (8)","")</f>
        <v/>
      </c>
      <c r="AK3" s="281"/>
      <c r="AL3" s="281"/>
      <c r="AM3" s="38"/>
      <c r="AN3" s="281" t="str">
        <f>IF(F2&gt;=9,"Add New Sample (9)","")</f>
        <v/>
      </c>
      <c r="AO3" s="281"/>
      <c r="AP3" s="281"/>
      <c r="AQ3" s="38"/>
      <c r="AR3" s="281" t="str">
        <f>IF(F2&gt;=10,"Add New Sample (10)","")</f>
        <v/>
      </c>
      <c r="AS3" s="281"/>
      <c r="AT3" s="281"/>
      <c r="AU3" s="38"/>
      <c r="AV3" s="281" t="str">
        <f>IF(F2&gt;=11,"Add New Sample (11)","")</f>
        <v/>
      </c>
      <c r="AW3" s="281"/>
      <c r="AX3" s="281"/>
      <c r="AY3" s="38"/>
      <c r="AZ3" s="281" t="str">
        <f>IF(F2&gt;=12,"Add New Sample (12)","")</f>
        <v/>
      </c>
      <c r="BA3" s="281"/>
      <c r="BB3" s="281"/>
      <c r="BC3" s="38"/>
      <c r="BD3" s="281" t="str">
        <f>IF(F2&gt;=13,"Add New Sample (13)","")</f>
        <v/>
      </c>
      <c r="BE3" s="281"/>
      <c r="BF3" s="281"/>
      <c r="BG3" s="38"/>
      <c r="BH3" s="281" t="str">
        <f>IF(F2&gt;=14,"Add New Sample (14)","")</f>
        <v/>
      </c>
      <c r="BI3" s="281"/>
      <c r="BJ3" s="281"/>
      <c r="BK3" s="38"/>
      <c r="BL3" s="281" t="str">
        <f>IF(F2&gt;=15,"Add New Sample (15)","")</f>
        <v/>
      </c>
      <c r="BM3" s="281"/>
      <c r="BN3" s="281"/>
      <c r="BO3" s="38"/>
      <c r="BP3" s="281" t="str">
        <f>IF(F2&gt;=16,"Add New Sample (16)","")</f>
        <v/>
      </c>
      <c r="BQ3" s="281"/>
      <c r="BR3" s="281"/>
      <c r="BS3" s="38"/>
      <c r="BT3" s="281" t="str">
        <f>IF(F2&gt;=17,"Add New Sample (17)","")</f>
        <v/>
      </c>
      <c r="BU3" s="281"/>
      <c r="BV3" s="281"/>
      <c r="BW3" s="7"/>
    </row>
    <row r="4" spans="1:75">
      <c r="A4" s="94"/>
      <c r="B4" s="44"/>
      <c r="C4" s="44"/>
      <c r="D4" s="121"/>
      <c r="E4" s="131" t="s">
        <v>5</v>
      </c>
      <c r="F4" s="286"/>
      <c r="G4" s="286"/>
      <c r="H4" s="286"/>
      <c r="I4" s="286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3" t="s">
        <v>268</v>
      </c>
      <c r="G5" s="283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0"/>
      <c r="G85" s="28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5" t="s">
        <v>234</v>
      </c>
      <c r="C1" s="285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5"/>
      <c r="C2" s="285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7"/>
      <c r="G3" s="287"/>
      <c r="H3" s="287"/>
      <c r="I3" s="287"/>
      <c r="J3" s="27" t="str">
        <f>IF(F2=1,"","결과 입력 (셀 범위 Q1 ~ AD82)")</f>
        <v/>
      </c>
      <c r="K3" s="7"/>
      <c r="L3" s="281" t="str">
        <f>IF(F2&gt;=2,"Add New Sample (2)","")</f>
        <v/>
      </c>
      <c r="M3" s="281"/>
      <c r="N3" s="281"/>
      <c r="O3" s="38"/>
      <c r="P3" s="281" t="str">
        <f>IF(F2&gt;=3,"Add New Sample (3)","")</f>
        <v/>
      </c>
      <c r="Q3" s="281"/>
      <c r="R3" s="281"/>
      <c r="S3" s="38"/>
      <c r="T3" s="281" t="str">
        <f>IF(F2&gt;=4,"Add New Sample (4)","")</f>
        <v/>
      </c>
      <c r="U3" s="281"/>
      <c r="V3" s="281"/>
      <c r="W3" s="38"/>
      <c r="X3" s="281" t="str">
        <f>IF(F2&gt;=5,"Add New Sample (5)","")</f>
        <v/>
      </c>
      <c r="Y3" s="281"/>
      <c r="Z3" s="281"/>
      <c r="AA3" s="38"/>
      <c r="AB3" s="281" t="str">
        <f>IF(F2&gt;=6,"Add New Sample (6)","")</f>
        <v/>
      </c>
      <c r="AC3" s="281"/>
      <c r="AD3" s="281"/>
      <c r="AE3" s="38"/>
      <c r="AF3" s="281" t="str">
        <f>IF(F2&gt;=7,"Add New Sample (7)","")</f>
        <v/>
      </c>
      <c r="AG3" s="281"/>
      <c r="AH3" s="281"/>
      <c r="AI3" s="38"/>
      <c r="AJ3" s="281" t="str">
        <f>IF(F2&gt;=8,"Add New Sample (8)","")</f>
        <v/>
      </c>
      <c r="AK3" s="281"/>
      <c r="AL3" s="281"/>
      <c r="AM3" s="38"/>
      <c r="AN3" s="281" t="str">
        <f>IF(F2&gt;=9,"Add New Sample (9)","")</f>
        <v/>
      </c>
      <c r="AO3" s="281"/>
      <c r="AP3" s="281"/>
      <c r="AQ3" s="38"/>
      <c r="AR3" s="281" t="str">
        <f>IF(F2&gt;=10,"Add New Sample (10)","")</f>
        <v/>
      </c>
      <c r="AS3" s="281"/>
      <c r="AT3" s="281"/>
      <c r="AU3" s="38"/>
      <c r="AV3" s="281" t="str">
        <f>IF(F2&gt;=11,"Add New Sample (11)","")</f>
        <v/>
      </c>
      <c r="AW3" s="281"/>
      <c r="AX3" s="281"/>
      <c r="AY3" s="38"/>
      <c r="AZ3" s="281" t="str">
        <f>IF(F2&gt;=12,"Add New Sample (12)","")</f>
        <v/>
      </c>
      <c r="BA3" s="281"/>
      <c r="BB3" s="281"/>
      <c r="BC3" s="38"/>
      <c r="BD3" s="281" t="str">
        <f>IF(F2&gt;=13,"Add New Sample (13)","")</f>
        <v/>
      </c>
      <c r="BE3" s="281"/>
      <c r="BF3" s="281"/>
      <c r="BG3" s="38"/>
      <c r="BH3" s="281" t="str">
        <f>IF(F2&gt;=14,"Add New Sample (14)","")</f>
        <v/>
      </c>
      <c r="BI3" s="281"/>
      <c r="BJ3" s="281"/>
      <c r="BK3" s="38"/>
      <c r="BL3" s="281" t="str">
        <f>IF(F2&gt;=15,"Add New Sample (15)","")</f>
        <v/>
      </c>
      <c r="BM3" s="281"/>
      <c r="BN3" s="281"/>
      <c r="BO3" s="38"/>
      <c r="BP3" s="281" t="str">
        <f>IF(F2&gt;=16,"Add New Sample (16)","")</f>
        <v/>
      </c>
      <c r="BQ3" s="281"/>
      <c r="BR3" s="281"/>
      <c r="BS3" s="38"/>
      <c r="BT3" s="281" t="str">
        <f>IF(F2&gt;=17,"Add New Sample (17)","")</f>
        <v/>
      </c>
      <c r="BU3" s="281"/>
      <c r="BV3" s="281"/>
      <c r="BW3" s="7"/>
    </row>
    <row r="4" spans="1:75">
      <c r="A4" s="94"/>
      <c r="B4" s="44"/>
      <c r="C4" s="44"/>
      <c r="D4" s="121"/>
      <c r="E4" s="131" t="s">
        <v>5</v>
      </c>
      <c r="F4" s="286"/>
      <c r="G4" s="286"/>
      <c r="H4" s="286"/>
      <c r="I4" s="286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3" t="s">
        <v>268</v>
      </c>
      <c r="G5" s="283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0"/>
      <c r="G85" s="28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5" t="s">
        <v>235</v>
      </c>
      <c r="C1" s="285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5"/>
      <c r="C2" s="285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7"/>
      <c r="G3" s="287"/>
      <c r="H3" s="287"/>
      <c r="I3" s="287"/>
      <c r="J3" s="27" t="str">
        <f>IF(F2=1,"","결과 입력 (셀 범위 Q1 ~ AD82)")</f>
        <v/>
      </c>
      <c r="K3" s="7"/>
      <c r="L3" s="281" t="str">
        <f>IF(F2&gt;=2,"Add New Sample (2)","")</f>
        <v/>
      </c>
      <c r="M3" s="281"/>
      <c r="N3" s="281"/>
      <c r="O3" s="38"/>
      <c r="P3" s="281" t="str">
        <f>IF(F2&gt;=3,"Add New Sample (3)","")</f>
        <v/>
      </c>
      <c r="Q3" s="281"/>
      <c r="R3" s="281"/>
      <c r="S3" s="38"/>
      <c r="T3" s="281" t="str">
        <f>IF(F2&gt;=4,"Add New Sample (4)","")</f>
        <v/>
      </c>
      <c r="U3" s="281"/>
      <c r="V3" s="281"/>
      <c r="W3" s="38"/>
      <c r="X3" s="281" t="str">
        <f>IF(F2&gt;=5,"Add New Sample (5)","")</f>
        <v/>
      </c>
      <c r="Y3" s="281"/>
      <c r="Z3" s="281"/>
      <c r="AA3" s="38"/>
      <c r="AB3" s="281" t="str">
        <f>IF(F2&gt;=6,"Add New Sample (6)","")</f>
        <v/>
      </c>
      <c r="AC3" s="281"/>
      <c r="AD3" s="281"/>
      <c r="AE3" s="38"/>
      <c r="AF3" s="281" t="str">
        <f>IF(F2&gt;=7,"Add New Sample (7)","")</f>
        <v/>
      </c>
      <c r="AG3" s="281"/>
      <c r="AH3" s="281"/>
      <c r="AI3" s="38"/>
      <c r="AJ3" s="281" t="str">
        <f>IF(F2&gt;=8,"Add New Sample (8)","")</f>
        <v/>
      </c>
      <c r="AK3" s="281"/>
      <c r="AL3" s="281"/>
      <c r="AM3" s="38"/>
      <c r="AN3" s="281" t="str">
        <f>IF(F2&gt;=9,"Add New Sample (9)","")</f>
        <v/>
      </c>
      <c r="AO3" s="281"/>
      <c r="AP3" s="281"/>
      <c r="AQ3" s="38"/>
      <c r="AR3" s="281" t="str">
        <f>IF(F2&gt;=10,"Add New Sample (10)","")</f>
        <v/>
      </c>
      <c r="AS3" s="281"/>
      <c r="AT3" s="281"/>
      <c r="AU3" s="38"/>
      <c r="AV3" s="281" t="str">
        <f>IF(F2&gt;=11,"Add New Sample (11)","")</f>
        <v/>
      </c>
      <c r="AW3" s="281"/>
      <c r="AX3" s="281"/>
      <c r="AY3" s="38"/>
      <c r="AZ3" s="281" t="str">
        <f>IF(F2&gt;=12,"Add New Sample (12)","")</f>
        <v/>
      </c>
      <c r="BA3" s="281"/>
      <c r="BB3" s="281"/>
      <c r="BC3" s="38"/>
      <c r="BD3" s="281" t="str">
        <f>IF(F2&gt;=13,"Add New Sample (13)","")</f>
        <v/>
      </c>
      <c r="BE3" s="281"/>
      <c r="BF3" s="281"/>
      <c r="BG3" s="38"/>
      <c r="BH3" s="281" t="str">
        <f>IF(F2&gt;=14,"Add New Sample (14)","")</f>
        <v/>
      </c>
      <c r="BI3" s="281"/>
      <c r="BJ3" s="281"/>
      <c r="BK3" s="38"/>
      <c r="BL3" s="281" t="str">
        <f>IF(F2&gt;=15,"Add New Sample (15)","")</f>
        <v/>
      </c>
      <c r="BM3" s="281"/>
      <c r="BN3" s="281"/>
      <c r="BO3" s="38"/>
      <c r="BP3" s="281" t="str">
        <f>IF(F2&gt;=16,"Add New Sample (16)","")</f>
        <v/>
      </c>
      <c r="BQ3" s="281"/>
      <c r="BR3" s="281"/>
      <c r="BS3" s="38"/>
      <c r="BT3" s="281" t="str">
        <f>IF(F2&gt;=17,"Add New Sample (17)","")</f>
        <v/>
      </c>
      <c r="BU3" s="281"/>
      <c r="BV3" s="281"/>
      <c r="BW3" s="7"/>
    </row>
    <row r="4" spans="1:75">
      <c r="A4" s="94"/>
      <c r="B4" s="44"/>
      <c r="C4" s="44"/>
      <c r="D4" s="121"/>
      <c r="E4" s="131" t="s">
        <v>5</v>
      </c>
      <c r="F4" s="286"/>
      <c r="G4" s="286"/>
      <c r="H4" s="286"/>
      <c r="I4" s="286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3" t="s">
        <v>268</v>
      </c>
      <c r="G5" s="283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0"/>
      <c r="G85" s="28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5" t="s">
        <v>236</v>
      </c>
      <c r="C1" s="285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5"/>
      <c r="C2" s="285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7"/>
      <c r="G3" s="287"/>
      <c r="H3" s="287"/>
      <c r="I3" s="287"/>
      <c r="J3" s="27" t="str">
        <f>IF(F2=1,"","결과 입력 (셀 범위 Q1 ~ AD82)")</f>
        <v/>
      </c>
      <c r="K3" s="7"/>
      <c r="L3" s="281" t="str">
        <f>IF(F2&gt;=2,"Add New Sample (2)","")</f>
        <v/>
      </c>
      <c r="M3" s="281"/>
      <c r="N3" s="281"/>
      <c r="O3" s="38"/>
      <c r="P3" s="281" t="str">
        <f>IF(F2&gt;=3,"Add New Sample (3)","")</f>
        <v/>
      </c>
      <c r="Q3" s="281"/>
      <c r="R3" s="281"/>
      <c r="S3" s="38"/>
      <c r="T3" s="281" t="str">
        <f>IF(F2&gt;=4,"Add New Sample (4)","")</f>
        <v/>
      </c>
      <c r="U3" s="281"/>
      <c r="V3" s="281"/>
      <c r="W3" s="38"/>
      <c r="X3" s="281" t="str">
        <f>IF(F2&gt;=5,"Add New Sample (5)","")</f>
        <v/>
      </c>
      <c r="Y3" s="281"/>
      <c r="Z3" s="281"/>
      <c r="AA3" s="38"/>
      <c r="AB3" s="281" t="str">
        <f>IF(F2&gt;=6,"Add New Sample (6)","")</f>
        <v/>
      </c>
      <c r="AC3" s="281"/>
      <c r="AD3" s="281"/>
      <c r="AE3" s="38"/>
      <c r="AF3" s="281" t="str">
        <f>IF(F2&gt;=7,"Add New Sample (7)","")</f>
        <v/>
      </c>
      <c r="AG3" s="281"/>
      <c r="AH3" s="281"/>
      <c r="AI3" s="38"/>
      <c r="AJ3" s="281" t="str">
        <f>IF(F2&gt;=8,"Add New Sample (8)","")</f>
        <v/>
      </c>
      <c r="AK3" s="281"/>
      <c r="AL3" s="281"/>
      <c r="AM3" s="38"/>
      <c r="AN3" s="281" t="str">
        <f>IF(F2&gt;=9,"Add New Sample (9)","")</f>
        <v/>
      </c>
      <c r="AO3" s="281"/>
      <c r="AP3" s="281"/>
      <c r="AQ3" s="38"/>
      <c r="AR3" s="281" t="str">
        <f>IF(F2&gt;=10,"Add New Sample (10)","")</f>
        <v/>
      </c>
      <c r="AS3" s="281"/>
      <c r="AT3" s="281"/>
      <c r="AU3" s="38"/>
      <c r="AV3" s="281" t="str">
        <f>IF(F2&gt;=11,"Add New Sample (11)","")</f>
        <v/>
      </c>
      <c r="AW3" s="281"/>
      <c r="AX3" s="281"/>
      <c r="AY3" s="38"/>
      <c r="AZ3" s="281" t="str">
        <f>IF(F2&gt;=12,"Add New Sample (12)","")</f>
        <v/>
      </c>
      <c r="BA3" s="281"/>
      <c r="BB3" s="281"/>
      <c r="BC3" s="38"/>
      <c r="BD3" s="281" t="str">
        <f>IF(F2&gt;=13,"Add New Sample (13)","")</f>
        <v/>
      </c>
      <c r="BE3" s="281"/>
      <c r="BF3" s="281"/>
      <c r="BG3" s="38"/>
      <c r="BH3" s="281" t="str">
        <f>IF(F2&gt;=14,"Add New Sample (14)","")</f>
        <v/>
      </c>
      <c r="BI3" s="281"/>
      <c r="BJ3" s="281"/>
      <c r="BK3" s="38"/>
      <c r="BL3" s="281" t="str">
        <f>IF(F2&gt;=15,"Add New Sample (15)","")</f>
        <v/>
      </c>
      <c r="BM3" s="281"/>
      <c r="BN3" s="281"/>
      <c r="BO3" s="38"/>
      <c r="BP3" s="281" t="str">
        <f>IF(F2&gt;=16,"Add New Sample (16)","")</f>
        <v/>
      </c>
      <c r="BQ3" s="281"/>
      <c r="BR3" s="281"/>
      <c r="BS3" s="38"/>
      <c r="BT3" s="281" t="str">
        <f>IF(F2&gt;=17,"Add New Sample (17)","")</f>
        <v/>
      </c>
      <c r="BU3" s="281"/>
      <c r="BV3" s="281"/>
      <c r="BW3" s="7"/>
    </row>
    <row r="4" spans="1:75">
      <c r="A4" s="94"/>
      <c r="B4" s="44"/>
      <c r="C4" s="44"/>
      <c r="D4" s="121"/>
      <c r="E4" s="131" t="s">
        <v>5</v>
      </c>
      <c r="F4" s="286"/>
      <c r="G4" s="286"/>
      <c r="H4" s="286"/>
      <c r="I4" s="286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3" t="s">
        <v>268</v>
      </c>
      <c r="G5" s="283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0"/>
      <c r="G85" s="28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5" t="s">
        <v>237</v>
      </c>
      <c r="C1" s="285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5"/>
      <c r="C2" s="285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7"/>
      <c r="G3" s="287"/>
      <c r="H3" s="287"/>
      <c r="I3" s="287"/>
      <c r="J3" s="27" t="str">
        <f>IF(F2=1,"","결과 입력 (셀 범위 Q1 ~ AD82)")</f>
        <v/>
      </c>
      <c r="K3" s="7"/>
      <c r="L3" s="281" t="str">
        <f>IF(F2&gt;=2,"Add New Sample (2)","")</f>
        <v/>
      </c>
      <c r="M3" s="281"/>
      <c r="N3" s="281"/>
      <c r="O3" s="38"/>
      <c r="P3" s="281" t="str">
        <f>IF(F2&gt;=3,"Add New Sample (3)","")</f>
        <v/>
      </c>
      <c r="Q3" s="281"/>
      <c r="R3" s="281"/>
      <c r="S3" s="38"/>
      <c r="T3" s="281" t="str">
        <f>IF(F2&gt;=4,"Add New Sample (4)","")</f>
        <v/>
      </c>
      <c r="U3" s="281"/>
      <c r="V3" s="281"/>
      <c r="W3" s="38"/>
      <c r="X3" s="281" t="str">
        <f>IF(F2&gt;=5,"Add New Sample (5)","")</f>
        <v/>
      </c>
      <c r="Y3" s="281"/>
      <c r="Z3" s="281"/>
      <c r="AA3" s="38"/>
      <c r="AB3" s="281" t="str">
        <f>IF(F2&gt;=6,"Add New Sample (6)","")</f>
        <v/>
      </c>
      <c r="AC3" s="281"/>
      <c r="AD3" s="281"/>
      <c r="AE3" s="38"/>
      <c r="AF3" s="281" t="str">
        <f>IF(F2&gt;=7,"Add New Sample (7)","")</f>
        <v/>
      </c>
      <c r="AG3" s="281"/>
      <c r="AH3" s="281"/>
      <c r="AI3" s="38"/>
      <c r="AJ3" s="281" t="str">
        <f>IF(F2&gt;=8,"Add New Sample (8)","")</f>
        <v/>
      </c>
      <c r="AK3" s="281"/>
      <c r="AL3" s="281"/>
      <c r="AM3" s="38"/>
      <c r="AN3" s="281" t="str">
        <f>IF(F2&gt;=9,"Add New Sample (9)","")</f>
        <v/>
      </c>
      <c r="AO3" s="281"/>
      <c r="AP3" s="281"/>
      <c r="AQ3" s="38"/>
      <c r="AR3" s="281" t="str">
        <f>IF(F2&gt;=10,"Add New Sample (10)","")</f>
        <v/>
      </c>
      <c r="AS3" s="281"/>
      <c r="AT3" s="281"/>
      <c r="AU3" s="38"/>
      <c r="AV3" s="281" t="str">
        <f>IF(F2&gt;=11,"Add New Sample (11)","")</f>
        <v/>
      </c>
      <c r="AW3" s="281"/>
      <c r="AX3" s="281"/>
      <c r="AY3" s="38"/>
      <c r="AZ3" s="281" t="str">
        <f>IF(F2&gt;=12,"Add New Sample (12)","")</f>
        <v/>
      </c>
      <c r="BA3" s="281"/>
      <c r="BB3" s="281"/>
      <c r="BC3" s="38"/>
      <c r="BD3" s="281" t="str">
        <f>IF(F2&gt;=13,"Add New Sample (13)","")</f>
        <v/>
      </c>
      <c r="BE3" s="281"/>
      <c r="BF3" s="281"/>
      <c r="BG3" s="38"/>
      <c r="BH3" s="281" t="str">
        <f>IF(F2&gt;=14,"Add New Sample (14)","")</f>
        <v/>
      </c>
      <c r="BI3" s="281"/>
      <c r="BJ3" s="281"/>
      <c r="BK3" s="38"/>
      <c r="BL3" s="281" t="str">
        <f>IF(F2&gt;=15,"Add New Sample (15)","")</f>
        <v/>
      </c>
      <c r="BM3" s="281"/>
      <c r="BN3" s="281"/>
      <c r="BO3" s="38"/>
      <c r="BP3" s="281" t="str">
        <f>IF(F2&gt;=16,"Add New Sample (16)","")</f>
        <v/>
      </c>
      <c r="BQ3" s="281"/>
      <c r="BR3" s="281"/>
      <c r="BS3" s="38"/>
      <c r="BT3" s="281" t="str">
        <f>IF(F2&gt;=17,"Add New Sample (17)","")</f>
        <v/>
      </c>
      <c r="BU3" s="281"/>
      <c r="BV3" s="281"/>
      <c r="BW3" s="7"/>
    </row>
    <row r="4" spans="1:75">
      <c r="A4" s="94"/>
      <c r="B4" s="44"/>
      <c r="C4" s="44"/>
      <c r="D4" s="121"/>
      <c r="E4" s="131" t="s">
        <v>5</v>
      </c>
      <c r="F4" s="286"/>
      <c r="G4" s="286"/>
      <c r="H4" s="286"/>
      <c r="I4" s="286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3" t="s">
        <v>268</v>
      </c>
      <c r="G5" s="283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0"/>
      <c r="G85" s="28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5" t="s">
        <v>238</v>
      </c>
      <c r="C1" s="285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5"/>
      <c r="C2" s="285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7"/>
      <c r="G3" s="287"/>
      <c r="H3" s="287"/>
      <c r="I3" s="287"/>
      <c r="J3" s="27" t="str">
        <f>IF(F2=1,"","결과 입력 (셀 범위 Q1 ~ AD82)")</f>
        <v/>
      </c>
      <c r="K3" s="7"/>
      <c r="L3" s="281" t="str">
        <f>IF(F2&gt;=2,"Add New Sample (2)","")</f>
        <v/>
      </c>
      <c r="M3" s="281"/>
      <c r="N3" s="281"/>
      <c r="O3" s="38"/>
      <c r="P3" s="281" t="str">
        <f>IF(F2&gt;=3,"Add New Sample (3)","")</f>
        <v/>
      </c>
      <c r="Q3" s="281"/>
      <c r="R3" s="281"/>
      <c r="S3" s="38"/>
      <c r="T3" s="281" t="str">
        <f>IF(F2&gt;=4,"Add New Sample (4)","")</f>
        <v/>
      </c>
      <c r="U3" s="281"/>
      <c r="V3" s="281"/>
      <c r="W3" s="38"/>
      <c r="X3" s="281" t="str">
        <f>IF(F2&gt;=5,"Add New Sample (5)","")</f>
        <v/>
      </c>
      <c r="Y3" s="281"/>
      <c r="Z3" s="281"/>
      <c r="AA3" s="38"/>
      <c r="AB3" s="281" t="str">
        <f>IF(F2&gt;=6,"Add New Sample (6)","")</f>
        <v/>
      </c>
      <c r="AC3" s="281"/>
      <c r="AD3" s="281"/>
      <c r="AE3" s="38"/>
      <c r="AF3" s="281" t="str">
        <f>IF(F2&gt;=7,"Add New Sample (7)","")</f>
        <v/>
      </c>
      <c r="AG3" s="281"/>
      <c r="AH3" s="281"/>
      <c r="AI3" s="38"/>
      <c r="AJ3" s="281" t="str">
        <f>IF(F2&gt;=8,"Add New Sample (8)","")</f>
        <v/>
      </c>
      <c r="AK3" s="281"/>
      <c r="AL3" s="281"/>
      <c r="AM3" s="38"/>
      <c r="AN3" s="281" t="str">
        <f>IF(F2&gt;=9,"Add New Sample (9)","")</f>
        <v/>
      </c>
      <c r="AO3" s="281"/>
      <c r="AP3" s="281"/>
      <c r="AQ3" s="38"/>
      <c r="AR3" s="281" t="str">
        <f>IF(F2&gt;=10,"Add New Sample (10)","")</f>
        <v/>
      </c>
      <c r="AS3" s="281"/>
      <c r="AT3" s="281"/>
      <c r="AU3" s="38"/>
      <c r="AV3" s="281" t="str">
        <f>IF(F2&gt;=11,"Add New Sample (11)","")</f>
        <v/>
      </c>
      <c r="AW3" s="281"/>
      <c r="AX3" s="281"/>
      <c r="AY3" s="38"/>
      <c r="AZ3" s="281" t="str">
        <f>IF(F2&gt;=12,"Add New Sample (12)","")</f>
        <v/>
      </c>
      <c r="BA3" s="281"/>
      <c r="BB3" s="281"/>
      <c r="BC3" s="38"/>
      <c r="BD3" s="281" t="str">
        <f>IF(F2&gt;=13,"Add New Sample (13)","")</f>
        <v/>
      </c>
      <c r="BE3" s="281"/>
      <c r="BF3" s="281"/>
      <c r="BG3" s="38"/>
      <c r="BH3" s="281" t="str">
        <f>IF(F2&gt;=14,"Add New Sample (14)","")</f>
        <v/>
      </c>
      <c r="BI3" s="281"/>
      <c r="BJ3" s="281"/>
      <c r="BK3" s="38"/>
      <c r="BL3" s="281" t="str">
        <f>IF(F2&gt;=15,"Add New Sample (15)","")</f>
        <v/>
      </c>
      <c r="BM3" s="281"/>
      <c r="BN3" s="281"/>
      <c r="BO3" s="38"/>
      <c r="BP3" s="281" t="str">
        <f>IF(F2&gt;=16,"Add New Sample (16)","")</f>
        <v/>
      </c>
      <c r="BQ3" s="281"/>
      <c r="BR3" s="281"/>
      <c r="BS3" s="38"/>
      <c r="BT3" s="281" t="str">
        <f>IF(F2&gt;=17,"Add New Sample (17)","")</f>
        <v/>
      </c>
      <c r="BU3" s="281"/>
      <c r="BV3" s="281"/>
      <c r="BW3" s="7"/>
    </row>
    <row r="4" spans="1:75">
      <c r="A4" s="94"/>
      <c r="B4" s="44"/>
      <c r="C4" s="44"/>
      <c r="D4" s="121"/>
      <c r="E4" s="131" t="s">
        <v>5</v>
      </c>
      <c r="F4" s="286"/>
      <c r="G4" s="286"/>
      <c r="H4" s="286"/>
      <c r="I4" s="286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3" t="s">
        <v>268</v>
      </c>
      <c r="G5" s="283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0"/>
      <c r="G85" s="28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296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796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796875" style="8" customWidth="1"/>
    <col min="76" max="16384" width="8.796875" style="8"/>
  </cols>
  <sheetData>
    <row r="1" spans="1:75" ht="15.6" customHeight="1">
      <c r="A1" s="94"/>
      <c r="B1" s="285" t="s">
        <v>239</v>
      </c>
      <c r="C1" s="285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5"/>
      <c r="C2" s="285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7"/>
      <c r="G3" s="287"/>
      <c r="H3" s="287"/>
      <c r="I3" s="287"/>
      <c r="J3" s="27" t="str">
        <f>IF(F2=1,"","결과 입력 (셀 범위 Q1 ~ AD82)")</f>
        <v/>
      </c>
      <c r="K3" s="7"/>
      <c r="L3" s="281" t="str">
        <f>IF(F2&gt;=2,"Add New Sample (2)","")</f>
        <v/>
      </c>
      <c r="M3" s="281"/>
      <c r="N3" s="281"/>
      <c r="O3" s="38"/>
      <c r="P3" s="281" t="str">
        <f>IF(F2&gt;=3,"Add New Sample (3)","")</f>
        <v/>
      </c>
      <c r="Q3" s="281"/>
      <c r="R3" s="281"/>
      <c r="S3" s="38"/>
      <c r="T3" s="281" t="str">
        <f>IF(F2&gt;=4,"Add New Sample (4)","")</f>
        <v/>
      </c>
      <c r="U3" s="281"/>
      <c r="V3" s="281"/>
      <c r="W3" s="38"/>
      <c r="X3" s="281" t="str">
        <f>IF(F2&gt;=5,"Add New Sample (5)","")</f>
        <v/>
      </c>
      <c r="Y3" s="281"/>
      <c r="Z3" s="281"/>
      <c r="AA3" s="38"/>
      <c r="AB3" s="281" t="str">
        <f>IF(F2&gt;=6,"Add New Sample (6)","")</f>
        <v/>
      </c>
      <c r="AC3" s="281"/>
      <c r="AD3" s="281"/>
      <c r="AE3" s="38"/>
      <c r="AF3" s="281" t="str">
        <f>IF(F2&gt;=7,"Add New Sample (7)","")</f>
        <v/>
      </c>
      <c r="AG3" s="281"/>
      <c r="AH3" s="281"/>
      <c r="AI3" s="38"/>
      <c r="AJ3" s="281" t="str">
        <f>IF(F2&gt;=8,"Add New Sample (8)","")</f>
        <v/>
      </c>
      <c r="AK3" s="281"/>
      <c r="AL3" s="281"/>
      <c r="AM3" s="38"/>
      <c r="AN3" s="281" t="str">
        <f>IF(F2&gt;=9,"Add New Sample (9)","")</f>
        <v/>
      </c>
      <c r="AO3" s="281"/>
      <c r="AP3" s="281"/>
      <c r="AQ3" s="38"/>
      <c r="AR3" s="281" t="str">
        <f>IF(F2&gt;=10,"Add New Sample (10)","")</f>
        <v/>
      </c>
      <c r="AS3" s="281"/>
      <c r="AT3" s="281"/>
      <c r="AU3" s="38"/>
      <c r="AV3" s="281" t="str">
        <f>IF(F2&gt;=11,"Add New Sample (11)","")</f>
        <v/>
      </c>
      <c r="AW3" s="281"/>
      <c r="AX3" s="281"/>
      <c r="AY3" s="38"/>
      <c r="AZ3" s="281" t="str">
        <f>IF(F2&gt;=12,"Add New Sample (12)","")</f>
        <v/>
      </c>
      <c r="BA3" s="281"/>
      <c r="BB3" s="281"/>
      <c r="BC3" s="38"/>
      <c r="BD3" s="281" t="str">
        <f>IF(F2&gt;=13,"Add New Sample (13)","")</f>
        <v/>
      </c>
      <c r="BE3" s="281"/>
      <c r="BF3" s="281"/>
      <c r="BG3" s="38"/>
      <c r="BH3" s="281" t="str">
        <f>IF(F2&gt;=14,"Add New Sample (14)","")</f>
        <v/>
      </c>
      <c r="BI3" s="281"/>
      <c r="BJ3" s="281"/>
      <c r="BK3" s="38"/>
      <c r="BL3" s="281" t="str">
        <f>IF(F2&gt;=15,"Add New Sample (15)","")</f>
        <v/>
      </c>
      <c r="BM3" s="281"/>
      <c r="BN3" s="281"/>
      <c r="BO3" s="38"/>
      <c r="BP3" s="281" t="str">
        <f>IF(F2&gt;=16,"Add New Sample (16)","")</f>
        <v/>
      </c>
      <c r="BQ3" s="281"/>
      <c r="BR3" s="281"/>
      <c r="BS3" s="38"/>
      <c r="BT3" s="281" t="str">
        <f>IF(F2&gt;=17,"Add New Sample (17)","")</f>
        <v/>
      </c>
      <c r="BU3" s="281"/>
      <c r="BV3" s="281"/>
      <c r="BW3" s="7"/>
    </row>
    <row r="4" spans="1:75">
      <c r="A4" s="94"/>
      <c r="B4" s="44"/>
      <c r="C4" s="44"/>
      <c r="D4" s="121"/>
      <c r="E4" s="131" t="s">
        <v>5</v>
      </c>
      <c r="F4" s="286"/>
      <c r="G4" s="286"/>
      <c r="H4" s="286"/>
      <c r="I4" s="286"/>
      <c r="J4" s="24" t="str">
        <f>IF(F2=1,"","▶▶▶▶▶")</f>
        <v/>
      </c>
      <c r="K4" s="7"/>
      <c r="L4" s="68" t="str">
        <f>IF(K5=1,"Tk No.:","")</f>
        <v/>
      </c>
      <c r="M4" s="284"/>
      <c r="N4" s="284"/>
      <c r="O4" s="38"/>
      <c r="P4" s="68" t="str">
        <f>IF(O5=1,"Tk No.:","")</f>
        <v/>
      </c>
      <c r="Q4" s="284"/>
      <c r="R4" s="284"/>
      <c r="S4" s="38"/>
      <c r="T4" s="68" t="str">
        <f>IF(S5=1,"Tk No.:","")</f>
        <v/>
      </c>
      <c r="U4" s="284"/>
      <c r="V4" s="284"/>
      <c r="W4" s="38"/>
      <c r="X4" s="68" t="str">
        <f>IF(W5=1,"Tk No.:","")</f>
        <v/>
      </c>
      <c r="Y4" s="284"/>
      <c r="Z4" s="284"/>
      <c r="AA4" s="38"/>
      <c r="AB4" s="68" t="str">
        <f>IF(AA5=1,"Tk No.:","")</f>
        <v/>
      </c>
      <c r="AC4" s="284"/>
      <c r="AD4" s="284"/>
      <c r="AE4" s="38"/>
      <c r="AF4" s="68" t="str">
        <f>IF(AE5=1,"Tk No.:","")</f>
        <v/>
      </c>
      <c r="AG4" s="284"/>
      <c r="AH4" s="284"/>
      <c r="AI4" s="38"/>
      <c r="AJ4" s="68" t="str">
        <f>IF(AI5=1,"Tk No.:","")</f>
        <v/>
      </c>
      <c r="AK4" s="284"/>
      <c r="AL4" s="284"/>
      <c r="AM4" s="38"/>
      <c r="AN4" s="68" t="str">
        <f>IF(AM5=1,"Tk No.:","")</f>
        <v/>
      </c>
      <c r="AO4" s="284"/>
      <c r="AP4" s="284"/>
      <c r="AQ4" s="38"/>
      <c r="AR4" s="68" t="str">
        <f>IF(AQ5=1,"Tk No.:","")</f>
        <v/>
      </c>
      <c r="AS4" s="284"/>
      <c r="AT4" s="284"/>
      <c r="AU4" s="38"/>
      <c r="AV4" s="68" t="str">
        <f>IF(AU5=1,"Tk No.:","")</f>
        <v/>
      </c>
      <c r="AW4" s="284"/>
      <c r="AX4" s="284"/>
      <c r="AY4" s="38"/>
      <c r="AZ4" s="68" t="str">
        <f>IF(AY5=1,"Tk No.:","")</f>
        <v/>
      </c>
      <c r="BA4" s="284"/>
      <c r="BB4" s="284"/>
      <c r="BC4" s="38"/>
      <c r="BD4" s="68" t="str">
        <f>IF(BC5=1,"Tk No.:","")</f>
        <v/>
      </c>
      <c r="BE4" s="284"/>
      <c r="BF4" s="284"/>
      <c r="BG4" s="38"/>
      <c r="BH4" s="68" t="str">
        <f>IF(BG5=1,"Tk No.:","")</f>
        <v/>
      </c>
      <c r="BI4" s="284"/>
      <c r="BJ4" s="284"/>
      <c r="BK4" s="38"/>
      <c r="BL4" s="68" t="str">
        <f>IF(BK5=1,"Tk No.:","")</f>
        <v/>
      </c>
      <c r="BM4" s="284"/>
      <c r="BN4" s="284"/>
      <c r="BO4" s="38"/>
      <c r="BP4" s="68" t="str">
        <f>IF(BO5=1,"Tk No.:","")</f>
        <v/>
      </c>
      <c r="BQ4" s="284"/>
      <c r="BR4" s="284"/>
      <c r="BS4" s="38"/>
      <c r="BT4" s="68" t="str">
        <f>IF(BS5=1,"Tk No.:","")</f>
        <v/>
      </c>
      <c r="BU4" s="284"/>
      <c r="BV4" s="284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3" t="s">
        <v>268</v>
      </c>
      <c r="G5" s="283"/>
      <c r="H5" s="89" t="s">
        <v>642</v>
      </c>
      <c r="I5" s="92" t="s">
        <v>18</v>
      </c>
      <c r="J5" s="7"/>
      <c r="K5" s="13" t="str">
        <f>IF(F2&gt;=2,1,"")</f>
        <v/>
      </c>
      <c r="L5" s="282" t="str">
        <f>IF(K5=1,"Results (검사원)","")</f>
        <v/>
      </c>
      <c r="M5" s="282"/>
      <c r="N5" s="282"/>
      <c r="O5" s="58" t="str">
        <f>IF(F2&gt;=3,1,"")</f>
        <v/>
      </c>
      <c r="P5" s="282" t="str">
        <f>IF(O5=1,"Results (검사원)","")</f>
        <v/>
      </c>
      <c r="Q5" s="282"/>
      <c r="R5" s="282"/>
      <c r="S5" s="58" t="str">
        <f>IF(F2&gt;=4,1,"")</f>
        <v/>
      </c>
      <c r="T5" s="282" t="str">
        <f>IF(S5=1,"Results (검사원)","")</f>
        <v/>
      </c>
      <c r="U5" s="282"/>
      <c r="V5" s="282"/>
      <c r="W5" s="58" t="str">
        <f>IF(F2&gt;=5,1,"")</f>
        <v/>
      </c>
      <c r="X5" s="282" t="str">
        <f>IF(W5=1,"Results (검사원)","")</f>
        <v/>
      </c>
      <c r="Y5" s="282"/>
      <c r="Z5" s="282"/>
      <c r="AA5" s="58" t="str">
        <f>IF(F2&gt;=6,1,"")</f>
        <v/>
      </c>
      <c r="AB5" s="282" t="str">
        <f>IF(AA5=1,"Results (검사원)","")</f>
        <v/>
      </c>
      <c r="AC5" s="282"/>
      <c r="AD5" s="282"/>
      <c r="AE5" s="58" t="str">
        <f>IF($F$2&gt;=7,1,"")</f>
        <v/>
      </c>
      <c r="AF5" s="282" t="str">
        <f>IF(AE5=1,"Results (검사원)","")</f>
        <v/>
      </c>
      <c r="AG5" s="282"/>
      <c r="AH5" s="282"/>
      <c r="AI5" s="58" t="str">
        <f>IF($F$2&gt;=8,1,"")</f>
        <v/>
      </c>
      <c r="AJ5" s="282" t="str">
        <f>IF(AI5=1,"Results (검사원)","")</f>
        <v/>
      </c>
      <c r="AK5" s="282"/>
      <c r="AL5" s="282"/>
      <c r="AM5" s="58" t="str">
        <f>IF($F$2&gt;=9,1,"")</f>
        <v/>
      </c>
      <c r="AN5" s="282" t="str">
        <f>IF(AM5=1,"Results (검사원)","")</f>
        <v/>
      </c>
      <c r="AO5" s="282"/>
      <c r="AP5" s="282"/>
      <c r="AQ5" s="58" t="str">
        <f>IF($F$2&gt;=10,1,"")</f>
        <v/>
      </c>
      <c r="AR5" s="282" t="str">
        <f>IF(AQ5=1,"Results (검사원)","")</f>
        <v/>
      </c>
      <c r="AS5" s="282"/>
      <c r="AT5" s="282"/>
      <c r="AU5" s="58" t="str">
        <f>IF($F$2&gt;=11,1,"")</f>
        <v/>
      </c>
      <c r="AV5" s="282" t="str">
        <f>IF(AU5=1,"Results (검사원)","")</f>
        <v/>
      </c>
      <c r="AW5" s="282"/>
      <c r="AX5" s="282"/>
      <c r="AY5" s="58" t="str">
        <f>IF($F$2&gt;=12,1,"")</f>
        <v/>
      </c>
      <c r="AZ5" s="282" t="str">
        <f>IF(AY5=1,"Results (검사원)","")</f>
        <v/>
      </c>
      <c r="BA5" s="282"/>
      <c r="BB5" s="282"/>
      <c r="BC5" s="58" t="str">
        <f>IF($F$2&gt;=13,1,"")</f>
        <v/>
      </c>
      <c r="BD5" s="282" t="str">
        <f>IF(BC5=1,"Results (검사원)","")</f>
        <v/>
      </c>
      <c r="BE5" s="282"/>
      <c r="BF5" s="282"/>
      <c r="BG5" s="58" t="str">
        <f>IF($F$2&gt;=14,1,"")</f>
        <v/>
      </c>
      <c r="BH5" s="282" t="str">
        <f>IF(BG5=1,"Results (검사원)","")</f>
        <v/>
      </c>
      <c r="BI5" s="282"/>
      <c r="BJ5" s="282"/>
      <c r="BK5" s="58" t="str">
        <f>IF($F$2&gt;=15,1,"")</f>
        <v/>
      </c>
      <c r="BL5" s="282" t="str">
        <f>IF(BK5=1,"Results (검사원)","")</f>
        <v/>
      </c>
      <c r="BM5" s="282"/>
      <c r="BN5" s="282"/>
      <c r="BO5" s="58" t="str">
        <f>IF($F$2&gt;=16,1,"")</f>
        <v/>
      </c>
      <c r="BP5" s="282" t="str">
        <f>IF(BO5=1,"Results (검사원)","")</f>
        <v/>
      </c>
      <c r="BQ5" s="282"/>
      <c r="BR5" s="282"/>
      <c r="BS5" s="58" t="str">
        <f>IF($F$2&gt;=17,1,"")</f>
        <v/>
      </c>
      <c r="BT5" s="282" t="str">
        <f>IF(BS5=1,"Results (검사원)","")</f>
        <v/>
      </c>
      <c r="BU5" s="282"/>
      <c r="BV5" s="282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0"/>
      <c r="G85" s="28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152" workbookViewId="0">
      <selection activeCell="L179" sqref="L179"/>
    </sheetView>
  </sheetViews>
  <sheetFormatPr defaultRowHeight="17.399999999999999"/>
  <cols>
    <col min="2" max="2" width="11.09765625" bestFit="1" customWidth="1"/>
    <col min="10" max="10" width="30.29687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3">
        <f ca="1">TODAY()</f>
        <v>45216</v>
      </c>
      <c r="I86" t="s">
        <v>259</v>
      </c>
      <c r="J86" t="s">
        <v>260</v>
      </c>
      <c r="K86" t="s">
        <v>259</v>
      </c>
      <c r="L86" s="159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1" t="s">
        <v>412</v>
      </c>
      <c r="J107" s="161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1" t="s">
        <v>413</v>
      </c>
      <c r="J108" s="161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1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1" t="s">
        <v>415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1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1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1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1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1" t="s">
        <v>420</v>
      </c>
      <c r="J115" s="161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1" t="s">
        <v>421</v>
      </c>
      <c r="J116" s="161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1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1" t="s">
        <v>412</v>
      </c>
      <c r="J118" s="161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1" t="s">
        <v>413</v>
      </c>
      <c r="J119" s="161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1" t="s">
        <v>414</v>
      </c>
      <c r="J120" s="161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1" t="s">
        <v>415</v>
      </c>
      <c r="J121" s="161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1" t="s">
        <v>416</v>
      </c>
      <c r="J122" s="161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1" t="s">
        <v>417</v>
      </c>
      <c r="J123" s="161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1" t="s">
        <v>418</v>
      </c>
      <c r="J124" s="161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1" t="s">
        <v>419</v>
      </c>
      <c r="J125" s="161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1" t="s">
        <v>420</v>
      </c>
      <c r="J126" s="161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1" t="s">
        <v>421</v>
      </c>
      <c r="J127" s="161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1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1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1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1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55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55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55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55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55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55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662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668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654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655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656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657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658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659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660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661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663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664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665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666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667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1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</hyperlinks>
  <pageMargins left="0.7" right="0.7" top="0.75" bottom="0.75" header="0.3" footer="0.3"/>
  <pageSetup paperSize="9" orientation="portrait" r:id="rId17"/>
  <drawing r:id="rId18"/>
  <legacyDrawing r:id="rId1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2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541020</xdr:colOff>
                    <xdr:row>89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Kim, HyunJin (Ulsan)</cp:lastModifiedBy>
  <cp:lastPrinted>2023-08-21T01:31:29Z</cp:lastPrinted>
  <dcterms:created xsi:type="dcterms:W3CDTF">2022-11-23T02:24:26Z</dcterms:created>
  <dcterms:modified xsi:type="dcterms:W3CDTF">2023-10-17T05:01:26Z</dcterms:modified>
</cp:coreProperties>
</file>