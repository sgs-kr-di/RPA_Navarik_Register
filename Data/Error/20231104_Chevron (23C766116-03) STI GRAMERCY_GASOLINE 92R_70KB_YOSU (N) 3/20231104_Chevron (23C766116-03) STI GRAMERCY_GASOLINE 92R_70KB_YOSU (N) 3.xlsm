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6_Navarik_Register\Data\Input\20231104_Chevron (23C766116-03) STI GRAMERCY_GASOLINE 92R_70KB_YOSU (N) 3\"/>
    </mc:Choice>
  </mc:AlternateContent>
  <xr:revisionPtr revIDLastSave="0" documentId="13_ncr:1_{06DDEDB1-1B79-4C10-8750-850CDB4B75FC}" xr6:coauthVersionLast="45" xr6:coauthVersionMax="47" xr10:uidLastSave="{00000000-0000-0000-0000-000000000000}"/>
  <bookViews>
    <workbookView xWindow="2340" yWindow="2340" windowWidth="21600" windowHeight="11385" tabRatio="688" activeTab="12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F36" i="1"/>
  <c r="F37" i="1" s="1"/>
  <c r="D36" i="1"/>
  <c r="D37" i="1" s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24" i="1"/>
  <c r="C36" i="1"/>
  <c r="C37" i="1" s="1"/>
</calcChain>
</file>

<file path=xl/sharedStrings.xml><?xml version="1.0" encoding="utf-8"?>
<sst xmlns="http://schemas.openxmlformats.org/spreadsheetml/2006/main" count="1237" uniqueCount="795">
  <si>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</si>
  <si>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</si>
  <si>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</si>
  <si>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</si>
  <si>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</si>
  <si>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</si>
  <si>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</si>
  <si>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</si>
  <si>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</si>
  <si>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</si>
  <si>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</si>
  <si>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</si>
  <si>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</si>
  <si>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</si>
  <si>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</si>
  <si>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</si>
  <si>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</si>
  <si>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</si>
  <si>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</si>
  <si>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</si>
  <si>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</si>
  <si>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</si>
  <si>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</si>
  <si>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</si>
  <si>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</si>
  <si>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</si>
  <si>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</si>
  <si>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</si>
  <si>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</si>
  <si>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</si>
  <si>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</si>
  <si>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</si>
  <si>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</si>
  <si>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</si>
  <si>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</si>
  <si>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</si>
  <si>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</si>
  <si>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</si>
  <si>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</si>
  <si>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</si>
  <si>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</si>
  <si>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</si>
  <si>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</si>
  <si>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</si>
  <si>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</si>
  <si>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</si>
  <si>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</si>
  <si>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</si>
  <si>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</si>
  <si>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</si>
  <si>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</si>
  <si>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</si>
  <si>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</si>
  <si>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</si>
  <si>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</si>
  <si>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</si>
  <si>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</si>
  <si>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</si>
  <si>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</si>
  <si>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</si>
  <si>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</si>
  <si>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</si>
  <si>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</si>
  <si>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</si>
  <si>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</si>
  <si>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</si>
  <si>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</si>
  <si>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</si>
  <si>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</si>
  <si>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</si>
  <si>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</si>
  <si>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</si>
  <si>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</si>
  <si>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</si>
  <si>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</si>
  <si>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</si>
  <si>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</si>
  <si>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</si>
  <si>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</si>
  <si>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</si>
  <si>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</si>
  <si>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</si>
  <si>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</si>
  <si>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</si>
  <si>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</si>
  <si>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</si>
  <si>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</si>
  <si>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</si>
  <si>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</si>
  <si>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</si>
  <si>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</si>
  <si>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</si>
  <si>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</si>
  <si>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</si>
  <si>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</si>
  <si>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</si>
  <si>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</si>
  <si>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</si>
  <si>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</si>
  <si>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</si>
  <si>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</si>
  <si>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</si>
  <si>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</si>
  <si>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</si>
  <si>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</si>
  <si>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</si>
  <si>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</si>
  <si>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</si>
  <si>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</si>
  <si>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</si>
  <si>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</si>
  <si>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</si>
  <si>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</si>
  <si>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</si>
  <si>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</si>
  <si>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</si>
  <si>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</si>
  <si>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</si>
  <si>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</si>
  <si>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</si>
  <si>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</si>
  <si>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</si>
  <si>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</si>
  <si>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</si>
  <si>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</si>
  <si>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</si>
  <si>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</si>
  <si>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</si>
  <si>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</si>
  <si>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</si>
  <si>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</si>
  <si>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</si>
  <si>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</si>
  <si>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</si>
  <si>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</si>
  <si>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</si>
  <si>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</si>
  <si>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</si>
  <si>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</si>
  <si>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</si>
  <si>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</si>
  <si>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</si>
  <si>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</si>
  <si>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</si>
  <si>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</si>
  <si>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</si>
  <si>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</si>
  <si>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</si>
  <si>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</si>
  <si>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</si>
  <si>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</si>
  <si>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</si>
  <si>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</si>
  <si>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</si>
  <si>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</si>
  <si>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</si>
  <si>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</si>
  <si>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</si>
  <si>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</si>
  <si>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</si>
  <si>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</si>
  <si>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</si>
  <si>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</si>
  <si>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</si>
  <si>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</si>
  <si>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</si>
  <si>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</si>
  <si>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</si>
  <si>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</si>
  <si>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</si>
  <si>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</si>
  <si>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</si>
  <si>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</si>
  <si>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</si>
  <si>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</si>
  <si>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</si>
  <si>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</si>
  <si>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</si>
  <si>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</si>
  <si>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</si>
  <si>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</si>
  <si>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</si>
  <si>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</si>
  <si>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</si>
  <si>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</si>
  <si>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</si>
  <si>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</si>
  <si>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</si>
  <si>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</si>
  <si>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</si>
  <si>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</si>
  <si>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</si>
  <si>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</si>
  <si>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</si>
  <si>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</si>
  <si>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</si>
  <si>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</si>
  <si>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</si>
  <si>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</si>
  <si>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</si>
  <si>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</si>
  <si>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</si>
  <si>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</si>
  <si>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</si>
  <si>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</si>
  <si>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</si>
  <si>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</si>
  <si>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</si>
  <si>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</si>
  <si>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</si>
  <si>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</si>
  <si>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</si>
  <si>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</si>
  <si>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</si>
  <si>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</si>
  <si>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</si>
  <si>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</si>
  <si>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</si>
  <si>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</si>
  <si>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</si>
  <si>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</si>
  <si>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</si>
  <si>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</si>
  <si>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</si>
  <si>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</si>
  <si>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</si>
  <si>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</si>
  <si>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</si>
  <si>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</si>
  <si>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</si>
  <si>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</si>
  <si>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</si>
  <si>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</si>
  <si>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</si>
  <si>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</si>
  <si>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</si>
  <si>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</si>
  <si>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</si>
  <si>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</si>
  <si>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</si>
  <si>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</si>
  <si>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</si>
  <si>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</si>
  <si>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</si>
  <si>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</si>
  <si>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</si>
  <si>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</si>
  <si>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</si>
  <si>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</si>
  <si>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</si>
  <si>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</si>
  <si>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</si>
  <si>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</si>
  <si>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</si>
  <si>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</si>
  <si>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</si>
  <si>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</si>
  <si>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</si>
  <si>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</si>
  <si>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</si>
  <si>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</si>
  <si>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</si>
  <si>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</si>
  <si>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</si>
  <si>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</si>
  <si>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</si>
  <si>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</si>
  <si>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</si>
  <si>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</si>
  <si>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</si>
  <si>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</si>
  <si>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</si>
  <si>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</si>
  <si>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</si>
  <si>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</si>
  <si>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</si>
  <si>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</si>
  <si>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</si>
  <si>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</si>
  <si>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</si>
  <si>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</si>
  <si>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</si>
  <si>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</si>
  <si>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</si>
  <si>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</si>
  <si>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</si>
  <si>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</si>
  <si>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</si>
  <si>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</si>
  <si>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</si>
  <si>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</si>
  <si>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</si>
  <si>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</si>
  <si>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</si>
  <si>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</si>
  <si>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</si>
  <si>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</si>
  <si>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</si>
  <si>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</si>
  <si>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</si>
  <si>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</si>
  <si>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</si>
  <si>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</si>
  <si>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</si>
  <si>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</si>
  <si>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</si>
  <si>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</si>
  <si>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</si>
  <si>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</si>
  <si>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</si>
  <si>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</si>
  <si>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</si>
  <si>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</si>
  <si>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</si>
  <si>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</si>
  <si>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</si>
  <si>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</si>
  <si>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</si>
  <si>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</si>
  <si>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</si>
  <si>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</si>
  <si>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</si>
  <si>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</si>
  <si>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</si>
  <si>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</si>
  <si>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</si>
  <si>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</si>
  <si>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</si>
  <si>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</si>
  <si>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</si>
  <si>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</si>
  <si>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</si>
  <si>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</si>
  <si>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</si>
  <si>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</si>
  <si>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</si>
  <si>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</si>
  <si>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</si>
  <si>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</si>
  <si>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</si>
  <si>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</si>
  <si>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</si>
  <si>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</si>
  <si>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</si>
  <si>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</si>
  <si>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</si>
  <si>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</si>
  <si>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</si>
  <si>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</si>
  <si>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</si>
  <si>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</si>
  <si>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</si>
  <si>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</si>
  <si>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</si>
  <si>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</si>
  <si>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</si>
  <si>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</si>
  <si>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</si>
  <si>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</si>
  <si>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</si>
  <si>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</si>
  <si>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</si>
  <si>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</si>
  <si>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</si>
  <si>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</si>
  <si>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</si>
  <si>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</si>
  <si>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</si>
  <si>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</si>
  <si>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</si>
  <si>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</si>
  <si>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</si>
  <si>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</si>
  <si>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</si>
  <si>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</si>
  <si>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</si>
  <si>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</si>
  <si>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</si>
  <si>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</si>
  <si>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</si>
  <si>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</si>
  <si>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</si>
  <si>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</si>
  <si>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</si>
  <si>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</si>
  <si>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</si>
  <si>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</si>
  <si>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</si>
  <si>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</si>
  <si>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</si>
  <si>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</si>
  <si>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</si>
  <si>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</si>
  <si>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</si>
  <si>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</si>
  <si>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</si>
  <si>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</si>
  <si>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</si>
  <si>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</si>
  <si>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</si>
  <si>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</si>
  <si>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</si>
  <si>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</si>
  <si>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</si>
  <si>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</si>
  <si>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</si>
  <si>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</si>
  <si>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</si>
  <si>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</si>
  <si>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</si>
  <si>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</si>
  <si>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</si>
  <si>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</si>
  <si>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</si>
  <si>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</si>
  <si>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</si>
  <si>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</si>
  <si>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</si>
  <si>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</si>
  <si>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</si>
  <si>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</si>
  <si>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</si>
  <si>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</si>
  <si>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</si>
  <si>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</si>
  <si>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</si>
  <si>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</si>
  <si>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</si>
  <si>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</si>
  <si>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</si>
  <si>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</si>
  <si>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</si>
  <si>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</si>
  <si>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</si>
  <si>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</si>
  <si>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</si>
  <si>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</si>
  <si>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</si>
  <si>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</si>
  <si>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</si>
  <si>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</si>
  <si>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</si>
  <si>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</si>
  <si>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</si>
  <si>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</si>
  <si>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</si>
  <si>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</si>
  <si>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</si>
  <si>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</si>
  <si>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</si>
  <si>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</si>
  <si>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</si>
  <si>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</si>
  <si>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</si>
  <si>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</si>
  <si>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</si>
  <si>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</si>
  <si>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</si>
  <si>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</si>
  <si>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</si>
  <si>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</si>
  <si>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</si>
  <si>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</si>
  <si>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</si>
  <si>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</si>
  <si>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</si>
  <si>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</si>
  <si>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</si>
  <si>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</si>
  <si>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</si>
  <si>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</si>
  <si>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</si>
  <si>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</si>
  <si>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</si>
  <si>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</si>
  <si>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</si>
  <si>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</si>
  <si>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</si>
  <si>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</si>
  <si>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</si>
  <si>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</si>
  <si>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</si>
  <si>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</si>
  <si>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</si>
  <si>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</si>
  <si>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</si>
  <si>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</si>
  <si>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</si>
  <si>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</si>
  <si>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</si>
  <si>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</si>
  <si>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</si>
  <si>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</si>
  <si>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</si>
  <si>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</si>
  <si>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</si>
  <si>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</si>
  <si>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</si>
  <si>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</si>
  <si>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</si>
  <si>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</si>
  <si>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</si>
  <si>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</si>
  <si>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</si>
  <si>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</si>
  <si>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</si>
  <si>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</si>
  <si>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</si>
  <si>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</si>
  <si>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</si>
  <si>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</si>
  <si>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</si>
  <si>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</si>
  <si>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</si>
  <si>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</si>
  <si>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</si>
  <si>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</si>
  <si>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</si>
  <si>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</si>
  <si>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</si>
  <si>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</si>
  <si>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</si>
  <si>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</si>
  <si>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</si>
  <si>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</si>
  <si>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</si>
  <si>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</si>
  <si>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</si>
  <si>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</si>
  <si>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</si>
  <si>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</si>
  <si>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</si>
  <si>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</si>
  <si>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</si>
  <si>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</si>
  <si>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</si>
  <si>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</si>
  <si>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</si>
  <si>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</si>
  <si>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</si>
  <si>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</si>
  <si>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</si>
  <si>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</si>
  <si>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</si>
  <si>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</si>
  <si>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</si>
  <si>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</si>
  <si>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</si>
  <si>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</si>
  <si>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</si>
  <si>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</si>
  <si>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</si>
  <si>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</si>
  <si>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</si>
  <si>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</si>
  <si>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</si>
  <si>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</si>
  <si>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</si>
  <si>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</si>
  <si>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</si>
  <si>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</si>
  <si>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</si>
  <si>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</si>
  <si>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</si>
  <si>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</si>
  <si>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</si>
  <si>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</si>
  <si>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</si>
  <si>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</si>
  <si>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</si>
  <si>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</si>
  <si>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</si>
  <si>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</si>
  <si>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</si>
  <si>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</si>
  <si>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</si>
  <si>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</si>
  <si>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</si>
  <si>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</si>
  <si>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</si>
  <si>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</si>
  <si>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</si>
  <si>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</si>
  <si>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</si>
  <si>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</si>
  <si>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</si>
  <si>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</si>
  <si>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</si>
  <si>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</si>
  <si>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</si>
  <si>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</si>
  <si>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</si>
  <si>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</si>
  <si>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</si>
  <si>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</si>
  <si>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</si>
  <si>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</si>
  <si>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</si>
  <si>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</si>
  <si>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</si>
  <si>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</si>
  <si>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</si>
  <si>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</si>
  <si>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</si>
  <si>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</si>
  <si>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</si>
  <si>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</si>
  <si>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</si>
  <si>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</si>
  <si>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</si>
  <si>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</si>
  <si>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</si>
  <si>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</si>
  <si>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</si>
  <si>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</si>
  <si>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</si>
  <si>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</si>
  <si>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</si>
  <si>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</si>
  <si>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</si>
  <si>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</si>
  <si>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</si>
  <si>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</si>
  <si>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</si>
  <si>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</si>
  <si>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</si>
  <si>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</si>
  <si>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</si>
  <si>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</si>
  <si>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</si>
  <si>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</si>
  <si>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</si>
  <si>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</si>
  <si>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</si>
  <si>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</si>
  <si>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</si>
  <si>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</si>
  <si>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</si>
  <si>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</si>
  <si>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</si>
  <si>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</si>
  <si>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</si>
  <si>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</si>
  <si>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</si>
  <si>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</si>
  <si>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</si>
  <si>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</si>
  <si>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</si>
  <si>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</si>
  <si>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</si>
  <si>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</si>
  <si>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</si>
  <si>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</si>
  <si>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</si>
  <si>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</si>
  <si>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</si>
  <si>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</si>
  <si>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</si>
  <si>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</si>
  <si>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</si>
  <si>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</si>
  <si>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</si>
  <si>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</si>
  <si>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</si>
  <si>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</si>
  <si>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</si>
  <si>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</si>
  <si>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</si>
  <si>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</si>
  <si>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</si>
  <si>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</si>
  <si>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</si>
  <si>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</si>
  <si>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</si>
  <si>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</si>
  <si>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</si>
  <si>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</si>
  <si>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</si>
  <si>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</si>
  <si>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</si>
  <si>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</si>
  <si>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</si>
  <si>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</si>
  <si>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</si>
  <si>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</si>
  <si>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</si>
  <si>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</si>
  <si>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</si>
  <si>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</si>
  <si>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</si>
  <si>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</si>
  <si>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</si>
  <si>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</si>
  <si>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</si>
  <si>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</si>
  <si>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</si>
  <si>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</si>
  <si>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</si>
  <si>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</si>
  <si>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23C766116-03</t>
  </si>
  <si>
    <t>STI GRAMERCY</t>
  </si>
  <si>
    <t>Unleaded Gasoline 92 Ron</t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</si>
  <si>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</si>
  <si>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</si>
  <si>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</si>
  <si>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</si>
  <si>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</si>
  <si>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</si>
  <si>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</si>
  <si>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</si>
  <si>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</si>
  <si>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</si>
  <si>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</si>
  <si>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</si>
  <si>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</si>
  <si>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</si>
  <si>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</si>
  <si>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</si>
  <si>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</si>
  <si>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</si>
  <si>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</si>
  <si>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</si>
  <si>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</si>
  <si>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</si>
  <si>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</si>
  <si>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</si>
  <si>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</si>
  <si>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</si>
  <si>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</si>
  <si>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</si>
  <si>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</si>
  <si>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</si>
  <si>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</si>
  <si>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</si>
  <si>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</si>
  <si>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</si>
  <si>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</si>
  <si>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</si>
  <si>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</si>
  <si>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</si>
  <si>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</si>
  <si>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</si>
  <si>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</si>
  <si>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</si>
  <si>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</si>
  <si>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</si>
  <si>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</si>
  <si>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</si>
  <si>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</si>
  <si>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</si>
  <si>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</si>
  <si>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</si>
  <si>
    <t>[OTHER] Visual</t>
  </si>
  <si>
    <t>[ASTM] D6839</t>
  </si>
  <si>
    <t>* </t>
  </si>
  <si>
    <t>ASTM D6839</t>
    <phoneticPr fontId="1" type="noConversion"/>
  </si>
  <si>
    <t>[ASTM] D130</t>
  </si>
  <si>
    <t>[ASTM] D4052</t>
  </si>
  <si>
    <t>[ASTM] D86</t>
  </si>
  <si>
    <t>[ASTM] D4815-04</t>
  </si>
  <si>
    <t>[ASTM] D381</t>
  </si>
  <si>
    <t>[ASTM] D3237</t>
  </si>
  <si>
    <t>[ASTM] D2699</t>
  </si>
  <si>
    <t>[ASTM] D4815</t>
  </si>
  <si>
    <t>[ASTM] D5453</t>
  </si>
  <si>
    <t>[ASTM] D5191 (ASTM)</t>
  </si>
  <si>
    <t>ASTM D6304</t>
    <phoneticPr fontId="1" type="noConversion"/>
  </si>
  <si>
    <t>CALCUALTED</t>
    <phoneticPr fontId="1" type="noConversion"/>
  </si>
  <si>
    <t>PASS</t>
    <phoneticPr fontId="1" type="noConversion"/>
  </si>
  <si>
    <t>0.8</t>
    <phoneticPr fontId="1" type="noConversion"/>
  </si>
  <si>
    <t>UNDYED</t>
    <phoneticPr fontId="1" type="noConversion"/>
  </si>
  <si>
    <t>1</t>
    <phoneticPr fontId="1" type="noConversion"/>
  </si>
  <si>
    <t>&lt;</t>
  </si>
  <si>
    <t>56.0</t>
    <phoneticPr fontId="1" type="noConversion"/>
  </si>
  <si>
    <t>94.0</t>
    <phoneticPr fontId="1" type="noConversion"/>
  </si>
  <si>
    <t>0</t>
    <phoneticPr fontId="1" type="noConversion"/>
  </si>
  <si>
    <t>1.0</t>
    <phoneticPr fontId="1" type="noConversion"/>
  </si>
  <si>
    <t>2.5</t>
    <phoneticPr fontId="1" type="noConversion"/>
  </si>
  <si>
    <t>56.1</t>
    <phoneticPr fontId="1" type="noConversion"/>
  </si>
  <si>
    <t>29.9</t>
    <phoneticPr fontId="1" type="noConversion"/>
  </si>
  <si>
    <t>744.4</t>
    <phoneticPr fontId="1" type="noConversion"/>
  </si>
  <si>
    <t>156.0</t>
    <phoneticPr fontId="1" type="noConversion"/>
  </si>
  <si>
    <t>191.0</t>
    <phoneticPr fontId="1" type="noConversion"/>
  </si>
  <si>
    <t>1.6</t>
    <phoneticPr fontId="1" type="noConversion"/>
  </si>
  <si>
    <t>2.0</t>
    <phoneticPr fontId="1" type="noConversion"/>
  </si>
  <si>
    <t>87.3</t>
    <phoneticPr fontId="1" type="noConversion"/>
  </si>
  <si>
    <t>92.4</t>
    <phoneticPr fontId="1" type="noConversion"/>
  </si>
  <si>
    <t>0.7</t>
    <phoneticPr fontId="1" type="noConversion"/>
  </si>
  <si>
    <t>0.0030</t>
    <phoneticPr fontId="1" type="noConversion"/>
  </si>
  <si>
    <t>0.010</t>
    <phoneticPr fontId="1" type="noConversion"/>
  </si>
  <si>
    <t>Kai Kim</t>
    <phoneticPr fontId="1" type="noConversion"/>
  </si>
  <si>
    <t>GS CALTEX</t>
    <phoneticPr fontId="1" type="noConversion"/>
  </si>
  <si>
    <t>YL23-20024194</t>
    <phoneticPr fontId="1" type="noConversion"/>
  </si>
  <si>
    <t>6B</t>
  </si>
  <si>
    <t>20D-563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</si>
</sst>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18" sqref="C18:C22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45241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45057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45333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topLeftCell="B1" zoomScaleNormal="100" workbookViewId="0">
      <selection activeCell="C33" sqref="C33"/>
    </sheetView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>
        <v>45241</v>
      </c>
      <c r="D4" s="168" t="s">
        <v>323</v>
      </c>
      <c r="E4" s="25"/>
      <c r="F4" s="290" t="s">
        <v>792</v>
      </c>
      <c r="G4" s="291"/>
      <c r="H4" s="36"/>
    </row>
    <row r="5" spans="1:78" ht="15" customHeight="1">
      <c r="A5" s="36"/>
      <c r="B5" s="42" t="s">
        <v>224</v>
      </c>
      <c r="C5" s="46" t="s">
        <v>790</v>
      </c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 t="s">
        <v>791</v>
      </c>
      <c r="D6" s="168" t="s">
        <v>273</v>
      </c>
      <c r="E6" s="25"/>
      <c r="F6" s="288" t="str">
        <f>IF('Navarik 설정'!C22="","",'Navarik 설정'!C22)</f>
        <v>Unleaded Gasoline 92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>
        <v>0.99950000000000006</v>
      </c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>
        <f>IF(C12="","",C12)</f>
        <v>70350</v>
      </c>
      <c r="D11" s="31">
        <f t="shared" ref="D11" si="0">IF(D12="","",D12)</f>
        <v>11177.208000000001</v>
      </c>
      <c r="E11" s="30">
        <f>IF(E12="","",E12)</f>
        <v>8177.4</v>
      </c>
      <c r="F11" s="31">
        <f>IF(F12="","",F12)</f>
        <v>8308.6</v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>
        <v>70350</v>
      </c>
      <c r="D12" s="28">
        <v>11177.208000000001</v>
      </c>
      <c r="E12" s="27">
        <v>8177.4</v>
      </c>
      <c r="F12" s="28">
        <v>8308.6</v>
      </c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>
        <f>IF(C12="","",C12)</f>
        <v>70350</v>
      </c>
      <c r="D13" s="31">
        <f t="shared" ref="D13" si="1">IF(D12="","",D12)</f>
        <v>11177.208000000001</v>
      </c>
      <c r="E13" s="30">
        <f>IF(E12="","",E12)</f>
        <v>8177.4</v>
      </c>
      <c r="F13" s="31">
        <f>IF(F12="","",F12)</f>
        <v>8308.6</v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 t="s">
        <v>793</v>
      </c>
      <c r="D15" s="44"/>
      <c r="E15" s="198" t="s">
        <v>651</v>
      </c>
      <c r="F15" s="37" t="s">
        <v>199</v>
      </c>
      <c r="G15" s="26">
        <v>0.74439999999999995</v>
      </c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>
        <v>70.7</v>
      </c>
      <c r="D16" s="24" t="s">
        <v>349</v>
      </c>
      <c r="E16" s="199" t="s">
        <v>398</v>
      </c>
      <c r="F16" s="37" t="s">
        <v>200</v>
      </c>
      <c r="G16" s="33">
        <v>58.5</v>
      </c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>
        <f>IF(C25="","",C25)</f>
        <v>70261</v>
      </c>
      <c r="D24" s="160">
        <f>IF(D25="","",D25)</f>
        <v>11163.067999999999</v>
      </c>
      <c r="E24" s="161">
        <f t="shared" ref="E24" si="5">IF(E25="","",E25)</f>
        <v>8167</v>
      </c>
      <c r="F24" s="160">
        <f>IF(F25="","",F25)</f>
        <v>8298.1</v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>
        <v>70261</v>
      </c>
      <c r="D25" s="157">
        <v>11163.067999999999</v>
      </c>
      <c r="E25" s="158">
        <v>8167</v>
      </c>
      <c r="F25" s="157">
        <v>8298.1</v>
      </c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>
        <f>IF(C25="","",C25)</f>
        <v>70261</v>
      </c>
      <c r="D26" s="160">
        <f t="shared" ref="D26" si="6">IF(D25="","",D25)</f>
        <v>11163.067999999999</v>
      </c>
      <c r="E26" s="161">
        <f>IF(E25="","",E25)</f>
        <v>8167</v>
      </c>
      <c r="F26" s="160">
        <f>IF(F25="","",F25)</f>
        <v>8298.1</v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>6B</v>
      </c>
      <c r="D28" s="25"/>
      <c r="E28" s="25"/>
      <c r="F28" s="37" t="s">
        <v>199</v>
      </c>
      <c r="G28" s="99">
        <f>IF(G15="","",G15)</f>
        <v>0.74439999999999995</v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>
        <v>67.599999999999994</v>
      </c>
      <c r="D29" s="35" t="str">
        <f>IF(D16="","",D16)</f>
        <v>°F</v>
      </c>
      <c r="E29" s="25"/>
      <c r="F29" s="37" t="s">
        <v>200</v>
      </c>
      <c r="G29" s="100">
        <f>IF(G16="","",G16)</f>
        <v>58.5</v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>
        <f>IF(OR(C12="",C25=""),"",C25-C12)</f>
        <v>-89</v>
      </c>
      <c r="D36" s="133">
        <f>IF(OR(D12="",D25=""),"",D25-D12)</f>
        <v>-14.140000000001237</v>
      </c>
      <c r="E36" s="133">
        <f>IF(OR(E12="",E25=""),"",E25-E12)</f>
        <v>-10.399999999999636</v>
      </c>
      <c r="F36" s="133">
        <f>IF(OR(F12="",F25=""),"",F25-F12)</f>
        <v>-10.5</v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>
        <f>IF(OR(C12="",C25=""),"",C36/C12*100)</f>
        <v>-0.12651030561478324</v>
      </c>
      <c r="D37" s="134">
        <f t="shared" ref="D37" si="7">IF(OR(D12="",D25=""),"",D36/D12*100)</f>
        <v>-0.12650744264579522</v>
      </c>
      <c r="E37" s="134">
        <f>IF(OR(E12="",E25=""),"",E36/E12*100)</f>
        <v>-0.12717978819673292</v>
      </c>
      <c r="F37" s="134">
        <f>IF(OR(F12="",F25=""),"",F36/F12*100)</f>
        <v>-0.12637508124112365</v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 activeCell="F5" sqref="F5:G5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315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 t="s">
        <v>794</v>
      </c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 t="s">
        <v>752</v>
      </c>
      <c r="E7" s="126" t="s">
        <v>724</v>
      </c>
      <c r="F7" s="263"/>
      <c r="G7" s="20" t="s">
        <v>768</v>
      </c>
      <c r="H7" s="20"/>
      <c r="I7" s="262" t="s">
        <v>742</v>
      </c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 t="s">
        <v>753</v>
      </c>
      <c r="E8" s="126" t="s">
        <v>725</v>
      </c>
      <c r="F8" s="261"/>
      <c r="G8" s="20" t="s">
        <v>779</v>
      </c>
      <c r="H8" s="20"/>
      <c r="I8" s="262" t="s">
        <v>743</v>
      </c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 t="s">
        <v>754</v>
      </c>
      <c r="E9" s="126" t="s">
        <v>726</v>
      </c>
      <c r="F9" s="261"/>
      <c r="G9" s="20" t="s">
        <v>769</v>
      </c>
      <c r="H9" s="20" t="s">
        <v>755</v>
      </c>
      <c r="I9" s="262" t="s">
        <v>743</v>
      </c>
      <c r="J9" s="246" t="str">
        <f t="shared" si="16"/>
        <v/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 t="s">
        <v>752</v>
      </c>
      <c r="E10" s="126" t="s">
        <v>724</v>
      </c>
      <c r="F10" s="263"/>
      <c r="G10" s="20" t="s">
        <v>770</v>
      </c>
      <c r="H10" s="20"/>
      <c r="I10" s="262" t="s">
        <v>742</v>
      </c>
      <c r="J10" s="246" t="str">
        <f t="shared" si="16"/>
        <v/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 t="s">
        <v>756</v>
      </c>
      <c r="E11" s="126" t="s">
        <v>727</v>
      </c>
      <c r="F11" s="261" t="s">
        <v>772</v>
      </c>
      <c r="G11" s="20" t="s">
        <v>771</v>
      </c>
      <c r="H11" s="20"/>
      <c r="I11" s="19" t="s">
        <v>744</v>
      </c>
      <c r="J11" s="246" t="str">
        <f t="shared" si="16"/>
        <v/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 t="s">
        <v>757</v>
      </c>
      <c r="E12" s="126" t="s">
        <v>728</v>
      </c>
      <c r="F12" s="261"/>
      <c r="G12" s="20" t="s">
        <v>780</v>
      </c>
      <c r="H12" s="20"/>
      <c r="I12" s="262" t="s">
        <v>745</v>
      </c>
      <c r="J12" s="246" t="str">
        <f t="shared" si="16"/>
        <v/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 t="s">
        <v>758</v>
      </c>
      <c r="E13" s="126" t="s">
        <v>729</v>
      </c>
      <c r="F13" s="261"/>
      <c r="G13" s="20" t="s">
        <v>773</v>
      </c>
      <c r="H13" s="20"/>
      <c r="I13" s="262" t="s">
        <v>746</v>
      </c>
      <c r="J13" s="246" t="str">
        <f t="shared" si="16"/>
        <v/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 t="s">
        <v>758</v>
      </c>
      <c r="E14" s="126" t="s">
        <v>730</v>
      </c>
      <c r="F14" s="261"/>
      <c r="G14" s="20" t="s">
        <v>774</v>
      </c>
      <c r="H14" s="20"/>
      <c r="I14" s="262" t="s">
        <v>746</v>
      </c>
      <c r="J14" s="246" t="str">
        <f t="shared" si="16"/>
        <v/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 t="s">
        <v>758</v>
      </c>
      <c r="E15" s="126" t="s">
        <v>731</v>
      </c>
      <c r="F15" s="261"/>
      <c r="G15" s="20" t="s">
        <v>781</v>
      </c>
      <c r="H15" s="20"/>
      <c r="I15" s="262" t="s">
        <v>746</v>
      </c>
      <c r="J15" s="246" t="str">
        <f t="shared" si="16"/>
        <v/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 t="s">
        <v>758</v>
      </c>
      <c r="E16" s="126" t="s">
        <v>732</v>
      </c>
      <c r="F16" s="261"/>
      <c r="G16" s="20" t="s">
        <v>782</v>
      </c>
      <c r="H16" s="20"/>
      <c r="I16" s="262" t="s">
        <v>746</v>
      </c>
      <c r="J16" s="246" t="str">
        <f t="shared" si="16"/>
        <v/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 t="s">
        <v>758</v>
      </c>
      <c r="E17" s="126" t="s">
        <v>733</v>
      </c>
      <c r="F17" s="261"/>
      <c r="G17" s="20" t="s">
        <v>783</v>
      </c>
      <c r="H17" s="20"/>
      <c r="I17" s="262" t="s">
        <v>743</v>
      </c>
      <c r="J17" s="246" t="str">
        <f t="shared" si="16"/>
        <v/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 t="s">
        <v>758</v>
      </c>
      <c r="E18" s="126" t="s">
        <v>726</v>
      </c>
      <c r="F18" s="261"/>
      <c r="G18" s="20" t="s">
        <v>776</v>
      </c>
      <c r="H18" s="20"/>
      <c r="I18" s="262" t="s">
        <v>743</v>
      </c>
      <c r="J18" s="246" t="str">
        <f t="shared" si="16"/>
        <v/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 t="s">
        <v>759</v>
      </c>
      <c r="E19" s="126" t="s">
        <v>734</v>
      </c>
      <c r="F19" s="261"/>
      <c r="G19" s="20" t="s">
        <v>775</v>
      </c>
      <c r="H19" s="20"/>
      <c r="I19" s="262" t="s">
        <v>743</v>
      </c>
      <c r="J19" s="246" t="str">
        <f t="shared" si="16"/>
        <v/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 t="s">
        <v>760</v>
      </c>
      <c r="E20" s="126" t="s">
        <v>735</v>
      </c>
      <c r="F20" s="261"/>
      <c r="G20" s="20" t="s">
        <v>776</v>
      </c>
      <c r="H20" s="20"/>
      <c r="I20" s="262" t="s">
        <v>747</v>
      </c>
      <c r="J20" s="246" t="str">
        <f t="shared" si="16"/>
        <v/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 t="s">
        <v>760</v>
      </c>
      <c r="E21" s="126" t="s">
        <v>733</v>
      </c>
      <c r="F21" s="261"/>
      <c r="G21" s="20" t="s">
        <v>784</v>
      </c>
      <c r="H21" s="20"/>
      <c r="I21" s="262" t="s">
        <v>747</v>
      </c>
      <c r="J21" s="246" t="str">
        <f t="shared" si="16"/>
        <v/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 t="s">
        <v>761</v>
      </c>
      <c r="E22" s="126" t="s">
        <v>736</v>
      </c>
      <c r="F22" s="261" t="s">
        <v>772</v>
      </c>
      <c r="G22" s="20" t="s">
        <v>777</v>
      </c>
      <c r="H22" s="20"/>
      <c r="I22" s="262" t="s">
        <v>748</v>
      </c>
      <c r="J22" s="246" t="str">
        <f t="shared" si="16"/>
        <v/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 t="s">
        <v>754</v>
      </c>
      <c r="E23" s="126" t="s">
        <v>737</v>
      </c>
      <c r="F23" s="261"/>
      <c r="G23" s="20" t="s">
        <v>785</v>
      </c>
      <c r="H23" s="20" t="s">
        <v>767</v>
      </c>
      <c r="I23" s="262" t="s">
        <v>749</v>
      </c>
      <c r="J23" s="246" t="str">
        <f t="shared" si="16"/>
        <v/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 t="s">
        <v>762</v>
      </c>
      <c r="E24" s="126" t="s">
        <v>738</v>
      </c>
      <c r="F24" s="261"/>
      <c r="G24" s="20" t="s">
        <v>786</v>
      </c>
      <c r="H24" s="20"/>
      <c r="I24" s="262" t="s">
        <v>744</v>
      </c>
      <c r="J24" s="246" t="str">
        <f t="shared" si="16"/>
        <v/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 t="s">
        <v>763</v>
      </c>
      <c r="E25" s="126" t="s">
        <v>726</v>
      </c>
      <c r="F25" s="261"/>
      <c r="G25" s="20" t="s">
        <v>787</v>
      </c>
      <c r="H25" s="20"/>
      <c r="I25" s="262" t="s">
        <v>743</v>
      </c>
      <c r="J25" s="246" t="str">
        <f t="shared" si="16"/>
        <v/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260" t="s">
        <v>764</v>
      </c>
      <c r="E26" s="126" t="s">
        <v>739</v>
      </c>
      <c r="F26" s="261"/>
      <c r="G26" s="20" t="s">
        <v>788</v>
      </c>
      <c r="H26" s="20"/>
      <c r="I26" s="262" t="s">
        <v>750</v>
      </c>
      <c r="J26" s="246" t="str">
        <f t="shared" si="16"/>
        <v/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 t="s">
        <v>765</v>
      </c>
      <c r="E27" s="126" t="s">
        <v>740</v>
      </c>
      <c r="F27" s="261"/>
      <c r="G27" s="20" t="s">
        <v>778</v>
      </c>
      <c r="H27" s="20"/>
      <c r="I27" s="262" t="s">
        <v>751</v>
      </c>
      <c r="J27" s="246" t="str">
        <f t="shared" si="16"/>
        <v/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 t="s">
        <v>723</v>
      </c>
      <c r="D28" s="260" t="s">
        <v>754</v>
      </c>
      <c r="E28" s="126" t="s">
        <v>741</v>
      </c>
      <c r="F28" s="261"/>
      <c r="G28" s="20" t="s">
        <v>789</v>
      </c>
      <c r="H28" s="20" t="s">
        <v>766</v>
      </c>
      <c r="I28" s="262" t="s">
        <v>743</v>
      </c>
      <c r="J28" s="246" t="str">
        <f t="shared" si="16"/>
        <v/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5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12D84D86-A3C2-4D78-ADCE-70D6C2D424CF}">
      <formula1>"* ,[OTHER] Visual"</formula1>
    </dataValidation>
    <dataValidation type="list" allowBlank="1" showInputMessage="1" showErrorMessage="1" sqref="D8" xr:uid="{1DA457ED-2752-44EB-9E48-D2F59EAECBE8}">
      <formula1>"* ,[ASTM] D5580,[ASTM] D5443,[ASTM] D6839"</formula1>
    </dataValidation>
    <dataValidation type="list" allowBlank="1" showInputMessage="1" showErrorMessage="1" sqref="D9" xr:uid="{2D2EAAD6-FE7D-435C-A0F0-1A559A74DF8B}">
      <formula1>"* ,[ASTM] D5443"</formula1>
    </dataValidation>
    <dataValidation type="list" allowBlank="1" showInputMessage="1" showErrorMessage="1" sqref="D11" xr:uid="{2B9ED446-614D-4444-92C9-3FB0B350B584}">
      <formula1>"* ,[ASTM] D130"</formula1>
    </dataValidation>
    <dataValidation type="list" allowBlank="1" showInputMessage="1" showErrorMessage="1" sqref="D12" xr:uid="{07E8D4D5-437F-43F9-A6A0-21578DEF1FCA}">
      <formula1>"* ,[ASTM] D1298,[ASTM] D4052"</formula1>
    </dataValidation>
    <dataValidation type="list" allowBlank="1" showInputMessage="1" showErrorMessage="1" sqref="D13 D14 D15 D16 D17 D18" xr:uid="{61EC5EA4-A4F8-4367-8867-19730151DB42}">
      <formula1>"* ,[ASTM] D86"</formula1>
    </dataValidation>
    <dataValidation type="list" allowBlank="1" showInputMessage="1" showErrorMessage="1" sqref="D19" xr:uid="{A0B31F47-B815-476E-8B6D-267621018120}">
      <formula1>"* ,[ASTM] D4815-04"</formula1>
    </dataValidation>
    <dataValidation type="list" allowBlank="1" showInputMessage="1" showErrorMessage="1" sqref="D20 D21" xr:uid="{BF9AD58E-451F-4A4B-A26E-564186491849}">
      <formula1>"* ,[ASTM] D381"</formula1>
    </dataValidation>
    <dataValidation type="list" allowBlank="1" showInputMessage="1" showErrorMessage="1" sqref="D22" xr:uid="{C5A895D9-8BDE-4675-B38A-EBB1D433A561}">
      <formula1>"* ,[ASTM] D5059,[ASTM] D3237,[ASTM] D3348"</formula1>
    </dataValidation>
    <dataValidation type="list" allowBlank="1" showInputMessage="1" showErrorMessage="1" sqref="D23" xr:uid="{6C767F8E-3152-4684-9F74-D5770FED1612}">
      <formula1>"* ,[ASTM] D4814 Appendix X1"</formula1>
    </dataValidation>
    <dataValidation type="list" allowBlank="1" showInputMessage="1" showErrorMessage="1" sqref="D24" xr:uid="{768B2AD9-4AA4-4DFB-B852-1713D3342856}">
      <formula1>"* ,[ASTM] D2699"</formula1>
    </dataValidation>
    <dataValidation type="list" allowBlank="1" showInputMessage="1" showErrorMessage="1" sqref="D25" xr:uid="{5EE5EBE9-17FE-4AE7-9A98-DF45378A4EC7}">
      <formula1>"* ,[ASTM] D4815"</formula1>
    </dataValidation>
    <dataValidation type="list" allowBlank="1" showInputMessage="1" showErrorMessage="1" sqref="D26" xr:uid="{6057BC9E-CA30-43EB-AE0B-559E62A8274F}">
      <formula1>"* ,[ASTM] D5453,[ASTM] D2622,[ASTM] D4294,[ASTM] D1266"</formula1>
    </dataValidation>
    <dataValidation type="list" allowBlank="1" showInputMessage="1" showErrorMessage="1" sqref="D27" xr:uid="{A3E64BFD-BCBD-46F4-A45D-8180C9AC7E61}">
      <formula1>"* ,[ASTM] D4953,[ASTM] D5191 (ASTM),[ASTM] D5482"</formula1>
    </dataValidation>
    <dataValidation type="list" allowBlank="1" showInputMessage="1" showErrorMessage="1" sqref="D28" xr:uid="{DC92BA83-A1D4-4D91-B7C4-7D5FC64DA17E}">
      <formula1>"* ,[ASTM] E203"</formula1>
    </dataValidation>
    <dataValidation type="list" allowBlank="1" showInputMessage="1" showErrorMessage="1" sqref="I7" xr:uid="{CE9A7AD5-534A-4110-84C4-AF8F56141617}">
      <formula1>"pass/fail,visual"</formula1>
    </dataValidation>
    <dataValidation type="list" allowBlank="1" showInputMessage="1" showErrorMessage="1" sqref="I8" xr:uid="{8F438EF7-2B65-466E-A0DB-D6944BC8B75D}">
      <formula1>"ppm,%liq vol,%m/m,%mole,%vol"</formula1>
    </dataValidation>
    <dataValidation type="list" allowBlank="1" showInputMessage="1" showErrorMessage="1" sqref="I9" xr:uid="{24AB4F71-3EAF-40CE-BBAD-98D76686D818}">
      <formula1>"mg/kg,ppm v/v,ppm w/w,%wt,%vol"</formula1>
    </dataValidation>
    <dataValidation type="list" allowBlank="1" showInputMessage="1" showErrorMessage="1" sqref="I10" xr:uid="{19EC9644-7DAD-469D-8E77-BB911607082A}">
      <formula1>"haze no,Pt/Co scale,pass/fail,rating,visual"</formula1>
    </dataValidation>
    <dataValidation type="list" allowBlank="1" showInputMessage="1" showErrorMessage="1" sqref="I11" xr:uid="{CC76E88F-76B3-4148-B9C8-8908E881FE3B}">
      <formula1>"rating"</formula1>
    </dataValidation>
    <dataValidation type="list" allowBlank="1" showInputMessage="1" showErrorMessage="1" sqref="I12" xr:uid="{1070B184-E63D-4A9F-A76C-817EC5283D1C}">
      <formula1>"g/ cc,g/l,g/cm³,g/ml,kg/m³,kg/l,n/a,tonne/m³"</formula1>
    </dataValidation>
    <dataValidation type="list" allowBlank="1" showInputMessage="1" showErrorMessage="1" sqref="I13 I14 I15 I16 I17 I18" xr:uid="{D42898CC-966A-4C6D-950D-0E354CBED84E}">
      <formula1>"°C,°F,%,%vol"</formula1>
    </dataValidation>
    <dataValidation type="list" allowBlank="1" showInputMessage="1" showErrorMessage="1" sqref="I19" xr:uid="{94572815-C92C-4CEF-9638-05D0B30B4B68}">
      <formula1>"ppm,%vol"</formula1>
    </dataValidation>
    <dataValidation type="list" allowBlank="1" showInputMessage="1" showErrorMessage="1" sqref="I20 I21" xr:uid="{1DA97130-CC73-4A37-925A-CD7231115E7E}">
      <formula1>"g/m³,mg/100ml,mg/l"</formula1>
    </dataValidation>
    <dataValidation type="list" allowBlank="1" showInputMessage="1" showErrorMessage="1" sqref="I22" xr:uid="{89E97E3C-F1A7-4825-B10C-5D7E06DCCD59}">
      <formula1>"g Pb/l,g Pb/US gal,g/US gal,mg/kg,mg/l,ppb,ppm,ppm w/w,%vol"</formula1>
    </dataValidation>
    <dataValidation type="list" allowBlank="1" showInputMessage="1" showErrorMessage="1" sqref="I23" xr:uid="{A9683EB6-F01B-4C44-A874-7BE5CD6EFA24}">
      <formula1>"calc,rating"</formula1>
    </dataValidation>
    <dataValidation type="list" allowBlank="1" showInputMessage="1" showErrorMessage="1" sqref="I24" xr:uid="{8A391C4E-4AF5-4A65-976F-43514A1166AA}">
      <formula1>"mg/kg,mg/l,ppm,ppm w/w,%wt,rating"</formula1>
    </dataValidation>
    <dataValidation type="list" allowBlank="1" showInputMessage="1" showErrorMessage="1" sqref="I25" xr:uid="{D0E9AA2D-D60B-4F13-BD05-BED211E51E82}">
      <formula1>"mg/100ml,mg/kg,ppm,ppm v/v,%m/m,%mole,%wt,%vol"</formula1>
    </dataValidation>
    <dataValidation type="list" allowBlank="1" showInputMessage="1" showErrorMessage="1" sqref="I26" xr:uid="{65DBCE5D-76D9-410C-BE32-F5411B786DB9}">
      <formula1>"μg/g,mg/kg,mg/l,ppm,%m,%m/m,%wt"</formula1>
    </dataValidation>
    <dataValidation type="list" allowBlank="1" showInputMessage="1" showErrorMessage="1" sqref="I27" xr:uid="{CDD268C4-6EB6-4A71-A333-70820EF94F21}">
      <formula1>"kg/cm²,kPa,mm Hg,psi"</formula1>
    </dataValidation>
    <dataValidation type="list" allowBlank="1" showInputMessage="1" showErrorMessage="1" sqref="I28" xr:uid="{AEBFC461-D0B4-4665-956A-E01703C4F395}">
      <formula1>"mg/kg,ppm,%wt,%vol"</formula1>
    </dataValidation>
    <dataValidation type="list" allowBlank="1" showInputMessage="1" showErrorMessage="1" sqref="F8 F9 F11 F12 F13 F14 F15 F16 F17 F18 F19 F20 F21 F22 F23 F24 F25 F26 F27 F28" xr:uid="{6E7897A8-F8ED-45B9-A510-48D2ED0E593C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45241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2023-11-11T07:08:59Z</dcterms:modified>
</cp:coreProperties>
</file>