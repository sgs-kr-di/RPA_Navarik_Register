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6_Navarik_Register\Data\Input\20231031_Chevron (23C764772-01) PETROLIMEX 09_GASOIL 500PPM_260KB_YOSU (N2)\"/>
    </mc:Choice>
  </mc:AlternateContent>
  <xr:revisionPtr revIDLastSave="0" documentId="13_ncr:1_{9E1068C9-3E71-4D80-8704-EA847DB574BE}" xr6:coauthVersionLast="45" xr6:coauthVersionMax="47" xr10:uidLastSave="{00000000-0000-0000-0000-000000000000}"/>
  <bookViews>
    <workbookView xWindow="1560" yWindow="1560" windowWidth="21600" windowHeight="11385" tabRatio="688" firstSheet="1" activeTab="12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1" l="1"/>
  <c r="D13" i="1"/>
  <c r="E13" i="1"/>
  <c r="B6" i="36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G24" i="1"/>
  <c r="F11" i="1"/>
  <c r="G13" i="1"/>
  <c r="F13" i="1"/>
  <c r="H7" i="4"/>
  <c r="C27" i="1"/>
  <c r="N3" i="1"/>
  <c r="K5" i="2"/>
  <c r="F36" i="1"/>
  <c r="G36" i="1"/>
  <c r="G37" i="1" s="1"/>
  <c r="C11" i="36"/>
  <c r="C10" i="36"/>
  <c r="C29" i="36"/>
  <c r="C31" i="36" s="1"/>
  <c r="J110" i="3"/>
  <c r="E24" i="1" l="1"/>
  <c r="E36" i="1"/>
  <c r="E37" i="1" s="1"/>
  <c r="D36" i="1"/>
  <c r="D37" i="1" s="1"/>
  <c r="D24" i="1"/>
  <c r="AS6" i="110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24" i="1"/>
  <c r="C36" i="1"/>
  <c r="C37" i="1" s="1"/>
</calcChain>
</file>

<file path=xl/sharedStrings.xml><?xml version="1.0" encoding="utf-8"?>
<sst xmlns="http://schemas.openxmlformats.org/spreadsheetml/2006/main" count="1385" uniqueCount="840">
  <si>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</si>
  <si>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</si>
  <si>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</si>
  <si>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</si>
  <si>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</si>
  <si>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</si>
  <si>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</si>
  <si>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</si>
  <si>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</si>
  <si>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</si>
  <si>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</si>
  <si>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</si>
  <si>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</si>
  <si>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</si>
  <si>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</si>
  <si>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</si>
  <si>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</si>
  <si>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</si>
  <si>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</si>
  <si>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</si>
  <si>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</si>
  <si>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</si>
  <si>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</si>
  <si>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</si>
  <si>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</si>
  <si>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</si>
  <si>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</si>
  <si>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</si>
  <si>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</si>
  <si>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</si>
  <si>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</si>
  <si>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</si>
  <si>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</si>
  <si>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</si>
  <si>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</si>
  <si>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</si>
  <si>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</si>
  <si>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</si>
  <si>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</si>
  <si>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</si>
  <si>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</si>
  <si>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</si>
  <si>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</si>
  <si>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</si>
  <si>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</si>
  <si>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</si>
  <si>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</si>
  <si>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</si>
  <si>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</si>
  <si>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</si>
  <si>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</si>
  <si>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</si>
  <si>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</si>
  <si>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</si>
  <si>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</si>
  <si>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</si>
  <si>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</si>
  <si>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</si>
  <si>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</si>
  <si>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</si>
  <si>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</si>
  <si>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</si>
  <si>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</si>
  <si>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</si>
  <si>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</si>
  <si>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</si>
  <si>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</si>
  <si>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</si>
  <si>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</si>
  <si>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</si>
  <si>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</si>
  <si>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</si>
  <si>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</si>
  <si>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</si>
  <si>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</si>
  <si>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</si>
  <si>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</si>
  <si>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</si>
  <si>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</si>
  <si>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</si>
  <si>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</si>
  <si>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</si>
  <si>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</si>
  <si>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</si>
  <si>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</si>
  <si>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</si>
  <si>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</si>
  <si>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</si>
  <si>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</si>
  <si>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</si>
  <si>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</si>
  <si>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</si>
  <si>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</si>
  <si>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</si>
  <si>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</si>
  <si>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</si>
  <si>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</si>
  <si>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</si>
  <si>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</si>
  <si>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</si>
  <si>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</si>
  <si>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</si>
  <si>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</si>
  <si>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</si>
  <si>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</si>
  <si>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</si>
  <si>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</si>
  <si>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</si>
  <si>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</si>
  <si>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</si>
  <si>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</si>
  <si>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</si>
  <si>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</si>
  <si>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</si>
  <si>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</si>
  <si>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</si>
  <si>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</si>
  <si>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</si>
  <si>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</si>
  <si>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</si>
  <si>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</si>
  <si>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</si>
  <si>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</si>
  <si>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</si>
  <si>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</si>
  <si>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</si>
  <si>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</si>
  <si>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</si>
  <si>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</si>
  <si>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</si>
  <si>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</si>
  <si>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</si>
  <si>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</si>
  <si>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</si>
  <si>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</si>
  <si>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</si>
  <si>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</si>
  <si>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</si>
  <si>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</si>
  <si>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</si>
  <si>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</si>
  <si>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</si>
  <si>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</si>
  <si>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</si>
  <si>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</si>
  <si>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</si>
  <si>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</si>
  <si>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</si>
  <si>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</si>
  <si>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</si>
  <si>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</si>
  <si>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</si>
  <si>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</si>
  <si>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</si>
  <si>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</si>
  <si>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</si>
  <si>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</si>
  <si>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</si>
  <si>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</si>
  <si>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</si>
  <si>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</si>
  <si>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</si>
  <si>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</si>
  <si>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</si>
  <si>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</si>
  <si>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</si>
  <si>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</si>
  <si>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</si>
  <si>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</si>
  <si>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</si>
  <si>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</si>
  <si>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</si>
  <si>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</si>
  <si>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</si>
  <si>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</si>
  <si>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</si>
  <si>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</si>
  <si>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</si>
  <si>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</si>
  <si>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</si>
  <si>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</si>
  <si>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</si>
  <si>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</si>
  <si>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</si>
  <si>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</si>
  <si>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</si>
  <si>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</si>
  <si>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</si>
  <si>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</si>
  <si>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</si>
  <si>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</si>
  <si>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</si>
  <si>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</si>
  <si>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</si>
  <si>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</si>
  <si>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</si>
  <si>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</si>
  <si>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</si>
  <si>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</si>
  <si>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</si>
  <si>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</si>
  <si>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</si>
  <si>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</si>
  <si>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</si>
  <si>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</si>
  <si>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</si>
  <si>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</si>
  <si>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</si>
  <si>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</si>
  <si>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</si>
  <si>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</si>
  <si>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</si>
  <si>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</si>
  <si>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</si>
  <si>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</si>
  <si>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</si>
  <si>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</si>
  <si>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</si>
  <si>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</si>
  <si>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</si>
  <si>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</si>
  <si>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</si>
  <si>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</si>
  <si>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</si>
  <si>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</si>
  <si>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</si>
  <si>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</si>
  <si>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</si>
  <si>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</si>
  <si>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</si>
  <si>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</si>
  <si>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</si>
  <si>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</si>
  <si>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</si>
  <si>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</si>
  <si>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</si>
  <si>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</si>
  <si>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</si>
  <si>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</si>
  <si>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</si>
  <si>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</si>
  <si>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</si>
  <si>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</si>
  <si>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</si>
  <si>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</si>
  <si>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</si>
  <si>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</si>
  <si>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</si>
  <si>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</si>
  <si>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</si>
  <si>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</si>
  <si>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</si>
  <si>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</si>
  <si>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</si>
  <si>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</si>
  <si>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</si>
  <si>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</si>
  <si>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</si>
  <si>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</si>
  <si>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</si>
  <si>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</si>
  <si>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</si>
  <si>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</si>
  <si>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</si>
  <si>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</si>
  <si>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</si>
  <si>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</si>
  <si>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</si>
  <si>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</si>
  <si>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</si>
  <si>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</si>
  <si>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</si>
  <si>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</si>
  <si>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</si>
  <si>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</si>
  <si>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</si>
  <si>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</si>
  <si>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</si>
  <si>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</si>
  <si>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</si>
  <si>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</si>
  <si>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</si>
  <si>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</si>
  <si>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</si>
  <si>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</si>
  <si>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</si>
  <si>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</si>
  <si>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</si>
  <si>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</si>
  <si>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</si>
  <si>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</si>
  <si>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</si>
  <si>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</si>
  <si>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</si>
  <si>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</si>
  <si>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</si>
  <si>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</si>
  <si>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</si>
  <si>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</si>
  <si>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</si>
  <si>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</si>
  <si>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</si>
  <si>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</si>
  <si>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</si>
  <si>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</si>
  <si>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</si>
  <si>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</si>
  <si>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</si>
  <si>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</si>
  <si>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</si>
  <si>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</si>
  <si>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</si>
  <si>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</si>
  <si>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</si>
  <si>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</si>
  <si>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</si>
  <si>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</si>
  <si>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</si>
  <si>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</si>
  <si>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</si>
  <si>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</si>
  <si>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</si>
  <si>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</si>
  <si>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</si>
  <si>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</si>
  <si>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</si>
  <si>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</si>
  <si>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</si>
  <si>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</si>
  <si>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</si>
  <si>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</si>
  <si>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</si>
  <si>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</si>
  <si>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</si>
  <si>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</si>
  <si>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</si>
  <si>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</si>
  <si>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</si>
  <si>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</si>
  <si>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</si>
  <si>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</si>
  <si>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</si>
  <si>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</si>
  <si>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</si>
  <si>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</si>
  <si>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</si>
  <si>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</si>
  <si>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</si>
  <si>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</si>
  <si>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</si>
  <si>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</si>
  <si>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</si>
  <si>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</si>
  <si>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</si>
  <si>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</si>
  <si>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</si>
  <si>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</si>
  <si>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</si>
  <si>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</si>
  <si>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</si>
  <si>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</si>
  <si>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</si>
  <si>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</si>
  <si>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</si>
  <si>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</si>
  <si>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</si>
  <si>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</si>
  <si>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</si>
  <si>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</si>
  <si>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</si>
  <si>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</si>
  <si>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</si>
  <si>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</si>
  <si>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</si>
  <si>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</si>
  <si>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</si>
  <si>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</si>
  <si>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</si>
  <si>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</si>
  <si>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</si>
  <si>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</si>
  <si>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</si>
  <si>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</si>
  <si>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</si>
  <si>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</si>
  <si>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</si>
  <si>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</si>
  <si>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</si>
  <si>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</si>
  <si>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</si>
  <si>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</si>
  <si>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</si>
  <si>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</si>
  <si>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</si>
  <si>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</si>
  <si>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</si>
  <si>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</si>
  <si>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</si>
  <si>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</si>
  <si>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</si>
  <si>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</si>
  <si>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</si>
  <si>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</si>
  <si>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</si>
  <si>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</si>
  <si>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</si>
  <si>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</si>
  <si>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</si>
  <si>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</si>
  <si>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</si>
  <si>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</si>
  <si>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</si>
  <si>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</si>
  <si>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</si>
  <si>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</si>
  <si>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</si>
  <si>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</si>
  <si>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</si>
  <si>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</si>
  <si>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</si>
  <si>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</si>
  <si>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</si>
  <si>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</si>
  <si>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</si>
  <si>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</si>
  <si>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</si>
  <si>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</si>
  <si>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</si>
  <si>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</si>
  <si>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</si>
  <si>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</si>
  <si>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</si>
  <si>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</si>
  <si>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</si>
  <si>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</si>
  <si>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</si>
  <si>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</si>
  <si>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</si>
  <si>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</si>
  <si>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</si>
  <si>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</si>
  <si>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</si>
  <si>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</si>
  <si>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</si>
  <si>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</si>
  <si>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</si>
  <si>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</si>
  <si>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</si>
  <si>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</si>
  <si>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</si>
  <si>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</si>
  <si>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</si>
  <si>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</si>
  <si>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</si>
  <si>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</si>
  <si>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</si>
  <si>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</si>
  <si>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</si>
  <si>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</si>
  <si>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</si>
  <si>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</si>
  <si>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</si>
  <si>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</si>
  <si>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</si>
  <si>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</si>
  <si>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</si>
  <si>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</si>
  <si>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</si>
  <si>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</si>
  <si>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</si>
  <si>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</si>
  <si>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</si>
  <si>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</si>
  <si>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</si>
  <si>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</si>
  <si>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</si>
  <si>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</si>
  <si>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</si>
  <si>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</si>
  <si>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</si>
  <si>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</si>
  <si>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</si>
  <si>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</si>
  <si>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</si>
  <si>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</si>
  <si>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</si>
  <si>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</si>
  <si>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</si>
  <si>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</si>
  <si>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</si>
  <si>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</si>
  <si>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</si>
  <si>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</si>
  <si>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</si>
  <si>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</si>
  <si>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</si>
  <si>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</si>
  <si>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</si>
  <si>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</si>
  <si>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</si>
  <si>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</si>
  <si>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</si>
  <si>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</si>
  <si>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</si>
  <si>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</si>
  <si>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</si>
  <si>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</si>
  <si>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</si>
  <si>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</si>
  <si>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</si>
  <si>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</si>
  <si>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</si>
  <si>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</si>
  <si>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</si>
  <si>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</si>
  <si>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</si>
  <si>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</si>
  <si>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</si>
  <si>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</si>
  <si>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</si>
  <si>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</si>
  <si>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</si>
  <si>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</si>
  <si>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</si>
  <si>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</si>
  <si>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</si>
  <si>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</si>
  <si>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</si>
  <si>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</si>
  <si>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</si>
  <si>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</si>
  <si>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</si>
  <si>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</si>
  <si>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</si>
  <si>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</si>
  <si>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</si>
  <si>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</si>
  <si>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</si>
  <si>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</si>
  <si>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</si>
  <si>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</si>
  <si>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</si>
  <si>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</si>
  <si>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</si>
  <si>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</si>
  <si>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</si>
  <si>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</si>
  <si>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</si>
  <si>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</si>
  <si>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</si>
  <si>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</si>
  <si>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</si>
  <si>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</si>
  <si>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</si>
  <si>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</si>
  <si>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</si>
  <si>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</si>
  <si>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</si>
  <si>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</si>
  <si>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</si>
  <si>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</si>
  <si>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</si>
  <si>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</si>
  <si>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</si>
  <si>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</si>
  <si>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</si>
  <si>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</si>
  <si>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</si>
  <si>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</si>
  <si>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</si>
  <si>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</si>
  <si>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</si>
  <si>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</si>
  <si>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</si>
  <si>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</si>
  <si>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</si>
  <si>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</si>
  <si>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</si>
  <si>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</si>
  <si>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</si>
  <si>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</si>
  <si>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</si>
  <si>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</si>
  <si>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</si>
  <si>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</si>
  <si>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</si>
  <si>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</si>
  <si>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</si>
  <si>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</si>
  <si>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</si>
  <si>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</si>
  <si>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</si>
  <si>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</si>
  <si>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</si>
  <si>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</si>
  <si>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</si>
  <si>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</si>
  <si>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</si>
  <si>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</si>
  <si>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</si>
  <si>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</si>
  <si>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</si>
  <si>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</si>
  <si>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</si>
  <si>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</si>
  <si>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</si>
  <si>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</si>
  <si>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</si>
  <si>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</si>
  <si>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</si>
  <si>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</si>
  <si>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</si>
  <si>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</si>
  <si>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</si>
  <si>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</si>
  <si>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</si>
  <si>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</si>
  <si>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</si>
  <si>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</si>
  <si>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</si>
  <si>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</si>
  <si>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</si>
  <si>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</si>
  <si>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</si>
  <si>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</si>
  <si>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</si>
  <si>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</si>
  <si>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</si>
  <si>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</si>
  <si>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</si>
  <si>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</si>
  <si>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</si>
  <si>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</si>
  <si>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</si>
  <si>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</si>
  <si>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</si>
  <si>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</si>
  <si>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</si>
  <si>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</si>
  <si>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</si>
  <si>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</si>
  <si>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</si>
  <si>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</si>
  <si>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</si>
  <si>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</si>
  <si>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</si>
  <si>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</si>
  <si>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</si>
  <si>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</si>
  <si>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</si>
  <si>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</si>
  <si>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</si>
  <si>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</si>
  <si>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</si>
  <si>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</si>
  <si>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</si>
  <si>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</si>
  <si>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</si>
  <si>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</si>
  <si>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</si>
  <si>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</si>
  <si>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</si>
  <si>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</si>
  <si>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</si>
  <si>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</si>
  <si>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</si>
  <si>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</si>
  <si>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</si>
  <si>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</si>
  <si>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</si>
  <si>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</si>
  <si>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</si>
  <si>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</si>
  <si>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</si>
  <si>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</si>
  <si>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</si>
  <si>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</si>
  <si>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</si>
  <si>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</si>
  <si>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</si>
  <si>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</si>
  <si>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</si>
  <si>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</si>
  <si>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</si>
  <si>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</si>
  <si>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</si>
  <si>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</si>
  <si>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</si>
  <si>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</si>
  <si>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</si>
  <si>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</si>
  <si>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</si>
  <si>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</si>
  <si>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</si>
  <si>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</si>
  <si>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여수</t>
    <phoneticPr fontId="1" type="noConversion"/>
  </si>
  <si>
    <t>CHEVRON</t>
  </si>
  <si>
    <t>23C764772-01</t>
    <phoneticPr fontId="1" type="noConversion"/>
  </si>
  <si>
    <t>PETROLIMEX 09</t>
    <phoneticPr fontId="1" type="noConversion"/>
  </si>
  <si>
    <t>Diesel Gasoil 0.05% S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</si>
  <si>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</si>
  <si>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</si>
  <si>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</si>
  <si>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</si>
  <si>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</si>
  <si>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</si>
  <si>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</si>
  <si>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Diesel Gasoil 0.05% S - 260000 Barrels</t>
  </si>
  <si>
    <t>*</t>
  </si>
  <si>
    <t>Density @ 15C</t>
  </si>
  <si>
    <t>Color of Petroleum Products (ASTM Scale)</t>
  </si>
  <si>
    <t>Appearance @ 25C</t>
  </si>
  <si>
    <t>Sulfur Content</t>
  </si>
  <si>
    <t>Total Aromatic Hydrocarbon Types in Diesel or Middle Distillates by HPLC</t>
  </si>
  <si>
    <t>Copper Corrosion, 3hr @ 50C</t>
  </si>
  <si>
    <t>Strong Acid Number</t>
  </si>
  <si>
    <t>Total Acid Number</t>
  </si>
  <si>
    <t>Lubricity of Diesel Fuel (HFRR Method)</t>
  </si>
  <si>
    <t>Distillation 10% Recovered</t>
  </si>
  <si>
    <t>Distillation 50% Recovered</t>
  </si>
  <si>
    <t>Distillation 85% Recovered</t>
  </si>
  <si>
    <t>Distillation 90% Recovered</t>
  </si>
  <si>
    <t>Distillation 95% Recovered</t>
  </si>
  <si>
    <t>Final Boiling Point</t>
  </si>
  <si>
    <t>Flash Point</t>
  </si>
  <si>
    <t>Oxidation Stability of Distillate Fuels</t>
  </si>
  <si>
    <t>Ash Content</t>
  </si>
  <si>
    <t>Carbon Residue</t>
  </si>
  <si>
    <t>Cetane Index by Four Variable Equation (Calculation)</t>
  </si>
  <si>
    <t>Cetane Number</t>
  </si>
  <si>
    <t>Viscosity - Kinematic at 40ºC (104ºF)</t>
  </si>
  <si>
    <t>Pour Point</t>
  </si>
  <si>
    <t>Cold Filter Plugging Point (CFPP) Summer</t>
  </si>
  <si>
    <t>Cloud Point</t>
  </si>
  <si>
    <t>Water and Sediment in Middle Distillate Fuels (Centrifuge Method)</t>
  </si>
  <si>
    <t>Water Content - Karl Fischer (Coulometric)</t>
  </si>
  <si>
    <t>Hydrogen Sulfide - Rapid Liquid Phase Extraction Method</t>
  </si>
  <si>
    <t>min = 0.820 / max = 0.86 (buy)</t>
  </si>
  <si>
    <t>max = 1.5 (buy)</t>
  </si>
  <si>
    <t>n/a</t>
  </si>
  <si>
    <t>max = 500 (buy)</t>
  </si>
  <si>
    <t>min = 15 (buy)</t>
  </si>
  <si>
    <t>max = 0 (buy)</t>
  </si>
  <si>
    <t>max = 0.25 (buy)</t>
  </si>
  <si>
    <t>max = 460 (buy)</t>
  </si>
  <si>
    <t>Report only</t>
  </si>
  <si>
    <t>min = 245 / max = 310 (buy)</t>
  </si>
  <si>
    <t>max = 350 (buy)</t>
  </si>
  <si>
    <t>max = 360 (buy)</t>
  </si>
  <si>
    <t>min = 66 (buy)</t>
  </si>
  <si>
    <t>max = 20 (buy)</t>
  </si>
  <si>
    <t>max = 0.01 (buy)</t>
  </si>
  <si>
    <t>max = 0.10 (buy)</t>
  </si>
  <si>
    <t>min = 48 (buy)</t>
  </si>
  <si>
    <t>min = 2.0 / max = 4.5 (buy)</t>
  </si>
  <si>
    <t>max = 0.05 (buy)</t>
  </si>
  <si>
    <t>max = 200 (buy)</t>
  </si>
  <si>
    <t>max = 2.0 (buy)</t>
  </si>
  <si>
    <t>max = 1 (buy)</t>
  </si>
  <si>
    <t>kg/l</t>
  </si>
  <si>
    <t>visual</t>
  </si>
  <si>
    <t>mg/kg</t>
  </si>
  <si>
    <t>%wt</t>
  </si>
  <si>
    <t>rating</t>
  </si>
  <si>
    <t>mg KOH/g</t>
  </si>
  <si>
    <t>μm</t>
  </si>
  <si>
    <t>°C</t>
  </si>
  <si>
    <t>g/cm³</t>
  </si>
  <si>
    <t>%m/m</t>
  </si>
  <si>
    <t>calc</t>
  </si>
  <si>
    <t>cSt</t>
  </si>
  <si>
    <t>%vol</t>
  </si>
  <si>
    <t>Justin Park</t>
    <phoneticPr fontId="1" type="noConversion"/>
  </si>
  <si>
    <t>GS Caltex product Wharf no.5</t>
    <phoneticPr fontId="1" type="noConversion"/>
  </si>
  <si>
    <t>YL23-20024099</t>
    <phoneticPr fontId="1" type="noConversion"/>
  </si>
  <si>
    <t>6B</t>
  </si>
  <si>
    <t>20D-179</t>
    <phoneticPr fontId="1" type="noConversion"/>
  </si>
  <si>
    <t>[ASTM] D4052</t>
  </si>
  <si>
    <t>[ASTM] D1500</t>
  </si>
  <si>
    <t>[ASTM] D4176 Procedure 2</t>
  </si>
  <si>
    <t>[ASTM] D5453</t>
  </si>
  <si>
    <t>[IP] IP 391</t>
  </si>
  <si>
    <t>[ASTM] D130</t>
  </si>
  <si>
    <t>[ASTM] D664</t>
  </si>
  <si>
    <t>[ASTM] D6079</t>
  </si>
  <si>
    <t>[ASTM] D86</t>
  </si>
  <si>
    <t>[ASTM] D93</t>
  </si>
  <si>
    <t>[ASTM] D2274</t>
  </si>
  <si>
    <t>[ASTM] D482</t>
  </si>
  <si>
    <t>[ASTM] D4530</t>
  </si>
  <si>
    <t>[ASTM] D4737</t>
  </si>
  <si>
    <t>[ASTM] D613</t>
  </si>
  <si>
    <t>[ASTM] D445</t>
  </si>
  <si>
    <t>[ASTM] D97</t>
  </si>
  <si>
    <t>[IP] IP 309</t>
  </si>
  <si>
    <t>[ASTM] D2500</t>
  </si>
  <si>
    <t>[ASTM] D2709</t>
  </si>
  <si>
    <t>[ASTM] D6304</t>
  </si>
  <si>
    <t>[IP] IP 570 - Procedure A</t>
  </si>
  <si>
    <t>0.8466</t>
  </si>
  <si>
    <t>1.0</t>
    <phoneticPr fontId="1" type="noConversion"/>
  </si>
  <si>
    <t>&lt;</t>
  </si>
  <si>
    <t>1</t>
  </si>
  <si>
    <t>1</t>
    <phoneticPr fontId="1" type="noConversion"/>
  </si>
  <si>
    <t>360</t>
  </si>
  <si>
    <t>33</t>
  </si>
  <si>
    <t>1a</t>
  </si>
  <si>
    <t>0</t>
    <phoneticPr fontId="1" type="noConversion"/>
  </si>
  <si>
    <t>0.1</t>
    <phoneticPr fontId="1" type="noConversion"/>
  </si>
  <si>
    <t>400</t>
  </si>
  <si>
    <t>400</t>
    <phoneticPr fontId="1" type="noConversion"/>
  </si>
  <si>
    <t>229.0</t>
  </si>
  <si>
    <t>294.0</t>
  </si>
  <si>
    <t>345.0</t>
  </si>
  <si>
    <t>357.0</t>
  </si>
  <si>
    <t>376.0</t>
  </si>
  <si>
    <t>386.0</t>
  </si>
  <si>
    <t>67.0</t>
  </si>
  <si>
    <t>67.0</t>
    <phoneticPr fontId="1" type="noConversion"/>
  </si>
  <si>
    <t>10</t>
    <phoneticPr fontId="1" type="noConversion"/>
  </si>
  <si>
    <t>0.010</t>
    <phoneticPr fontId="1" type="noConversion"/>
  </si>
  <si>
    <t>53.8</t>
  </si>
  <si>
    <t>53.8</t>
    <phoneticPr fontId="1" type="noConversion"/>
  </si>
  <si>
    <t>48.6</t>
  </si>
  <si>
    <t>48.6</t>
    <phoneticPr fontId="1" type="noConversion"/>
  </si>
  <si>
    <t>3.651</t>
  </si>
  <si>
    <t>3.651</t>
    <phoneticPr fontId="1" type="noConversion"/>
  </si>
  <si>
    <t>-3</t>
  </si>
  <si>
    <t>-3</t>
    <phoneticPr fontId="1" type="noConversion"/>
  </si>
  <si>
    <t>-2</t>
    <phoneticPr fontId="1" type="noConversion"/>
  </si>
  <si>
    <t>6</t>
    <phoneticPr fontId="1" type="noConversion"/>
  </si>
  <si>
    <t>0.01</t>
    <phoneticPr fontId="1" type="noConversion"/>
  </si>
  <si>
    <t>46.1</t>
  </si>
  <si>
    <t>46.1</t>
    <phoneticPr fontId="1" type="noConversion"/>
  </si>
  <si>
    <t>0.60</t>
    <phoneticPr fontId="1" type="noConversion"/>
  </si>
  <si>
    <t>1.0</t>
    <phoneticPr fontId="1" type="noConversion"/>
  </si>
  <si>
    <t>0.1</t>
    <phoneticPr fontId="1" type="noConversion"/>
  </si>
  <si>
    <t>0.010</t>
    <phoneticPr fontId="1" type="noConversion"/>
  </si>
  <si>
    <t>0.01</t>
    <phoneticPr fontId="1" type="noConversion"/>
  </si>
  <si>
    <t>Shore Tank Gauge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</si>
</sst>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A2" sqref="A2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393</v>
      </c>
      <c r="C5" s="157" t="s">
        <v>695</v>
      </c>
      <c r="E5" s="235" t="s">
        <v>646</v>
      </c>
      <c r="F5" s="247" t="s">
        <v>676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395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673</v>
      </c>
      <c r="C9" s="232" t="s">
        <v>674</v>
      </c>
      <c r="E9" s="240" t="s">
        <v>677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No</v>
      </c>
      <c r="E10" s="235" t="s">
        <v>646</v>
      </c>
      <c r="F10" s="247" t="s">
        <v>680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646</v>
      </c>
      <c r="F11" s="247" t="s">
        <v>679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646</v>
      </c>
      <c r="F12" s="247" t="s">
        <v>681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675</v>
      </c>
      <c r="E13" s="241" t="s">
        <v>678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672</v>
      </c>
      <c r="C14" s="223"/>
      <c r="E14" s="235" t="s">
        <v>646</v>
      </c>
      <c r="F14" s="247" t="s">
        <v>682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670</v>
      </c>
      <c r="C15" s="202"/>
      <c r="E15" s="235" t="s">
        <v>646</v>
      </c>
      <c r="F15" s="247" t="s">
        <v>683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671</v>
      </c>
      <c r="C16" s="178"/>
      <c r="E16" s="235" t="s">
        <v>646</v>
      </c>
      <c r="F16" s="247" t="s">
        <v>684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696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697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699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384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391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392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407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406</v>
      </c>
      <c r="C29" s="182">
        <f ca="1">TODAY()</f>
        <v>45236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408</v>
      </c>
      <c r="C30" s="182">
        <f ca="1">IF(C29="","",EDATE(C29,-6))</f>
        <v>45052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409</v>
      </c>
      <c r="C31" s="182">
        <f ca="1">IF(C29="","",EDATE(C29,3))</f>
        <v>45328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398</v>
      </c>
      <c r="C34" s="249" t="s">
        <v>392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642</v>
      </c>
      <c r="C35" s="251" t="s">
        <v>669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643</v>
      </c>
      <c r="C36" s="251" t="s">
        <v>668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0</v>
      </c>
      <c r="C48" s="225">
        <f t="shared" ref="C48:C49" si="0">IF(LEFT(B48,1)="T",1,2)</f>
        <v>2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 activeCell="H26" activeCellId="6" sqref="H6 H11 H16 H17 H20 H22 H26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457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708</v>
      </c>
      <c r="C6" s="130" t="s">
        <v>525</v>
      </c>
      <c r="D6" s="62"/>
      <c r="E6" s="101">
        <v>45230</v>
      </c>
      <c r="F6" s="64">
        <v>1548</v>
      </c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700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529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701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496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708</v>
      </c>
      <c r="C11" s="130" t="s">
        <v>702</v>
      </c>
      <c r="D11" s="62"/>
      <c r="E11" s="101">
        <v>45234</v>
      </c>
      <c r="F11" s="64">
        <v>1300</v>
      </c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499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510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703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480</v>
      </c>
      <c r="D15" s="62"/>
      <c r="E15" s="101"/>
      <c r="F15" s="64"/>
      <c r="G15" s="65"/>
      <c r="H15" s="215" t="str">
        <f t="shared" si="0"/>
        <v>-</v>
      </c>
      <c r="I15" s="4"/>
      <c r="J15" s="267" t="s">
        <v>368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708</v>
      </c>
      <c r="C16" s="130" t="s">
        <v>502</v>
      </c>
      <c r="D16" s="62"/>
      <c r="E16" s="101">
        <v>45234</v>
      </c>
      <c r="F16" s="64">
        <v>1345</v>
      </c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708</v>
      </c>
      <c r="C17" s="130" t="s">
        <v>704</v>
      </c>
      <c r="D17" s="62" t="s">
        <v>707</v>
      </c>
      <c r="E17" s="101">
        <v>45234</v>
      </c>
      <c r="F17" s="64">
        <v>1354</v>
      </c>
      <c r="G17" s="65"/>
      <c r="H17" s="215" t="str">
        <f t="shared" si="0"/>
        <v/>
      </c>
      <c r="I17" s="4"/>
      <c r="J17" s="258" t="s">
        <v>651</v>
      </c>
      <c r="K17" s="259"/>
      <c r="L17" s="259"/>
      <c r="M17" s="259"/>
      <c r="N17" s="259"/>
      <c r="O17" s="260"/>
      <c r="P17" s="4"/>
      <c r="AA17" s="108">
        <f t="shared" si="1"/>
        <v>1</v>
      </c>
    </row>
    <row r="18" spans="1:27" ht="13.9" customHeight="1">
      <c r="A18" s="85">
        <v>14</v>
      </c>
      <c r="B18" s="129"/>
      <c r="C18" s="130" t="s">
        <v>705</v>
      </c>
      <c r="D18" s="62"/>
      <c r="E18" s="101"/>
      <c r="F18" s="64"/>
      <c r="G18" s="65"/>
      <c r="H18" s="215" t="str">
        <f t="shared" si="0"/>
        <v>-</v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0</v>
      </c>
    </row>
    <row r="19" spans="1:27" ht="13.9" customHeight="1">
      <c r="A19" s="85">
        <v>15</v>
      </c>
      <c r="B19" s="129"/>
      <c r="C19" s="130" t="s">
        <v>467</v>
      </c>
      <c r="D19" s="62"/>
      <c r="E19" s="101"/>
      <c r="F19" s="64"/>
      <c r="G19" s="65"/>
      <c r="H19" s="215" t="str">
        <f t="shared" si="0"/>
        <v>-</v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0</v>
      </c>
    </row>
    <row r="20" spans="1:27" ht="13.9" customHeight="1">
      <c r="A20" s="85">
        <v>16</v>
      </c>
      <c r="B20" s="129" t="s">
        <v>708</v>
      </c>
      <c r="C20" s="130" t="s">
        <v>479</v>
      </c>
      <c r="D20" s="62" t="s">
        <v>707</v>
      </c>
      <c r="E20" s="101">
        <v>45236</v>
      </c>
      <c r="F20" s="64">
        <v>206</v>
      </c>
      <c r="G20" s="65"/>
      <c r="H20" s="215" t="str">
        <f t="shared" si="0"/>
        <v/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1</v>
      </c>
    </row>
    <row r="21" spans="1:27" ht="13.9" customHeight="1">
      <c r="A21" s="85">
        <v>17</v>
      </c>
      <c r="B21" s="129"/>
      <c r="C21" s="130" t="s">
        <v>706</v>
      </c>
      <c r="D21" s="62"/>
      <c r="E21" s="101"/>
      <c r="F21" s="64"/>
      <c r="G21" s="65"/>
      <c r="H21" s="215" t="str">
        <f t="shared" si="0"/>
        <v>-</v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708</v>
      </c>
      <c r="C22" s="130" t="s">
        <v>503</v>
      </c>
      <c r="D22" s="63"/>
      <c r="E22" s="101">
        <v>45236</v>
      </c>
      <c r="F22" s="64">
        <v>230</v>
      </c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1</v>
      </c>
    </row>
    <row r="23" spans="1:27" ht="13.9" customHeight="1">
      <c r="A23" s="85">
        <v>19</v>
      </c>
      <c r="B23" s="129"/>
      <c r="C23" s="130" t="s">
        <v>475</v>
      </c>
      <c r="D23" s="62"/>
      <c r="E23" s="101"/>
      <c r="F23" s="64"/>
      <c r="G23" s="65"/>
      <c r="H23" s="215" t="str">
        <f t="shared" si="0"/>
        <v>-</v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0</v>
      </c>
    </row>
    <row r="24" spans="1:27" ht="13.9" customHeight="1">
      <c r="A24" s="85">
        <v>20</v>
      </c>
      <c r="B24" s="129"/>
      <c r="C24" s="130" t="s">
        <v>466</v>
      </c>
      <c r="D24" s="62"/>
      <c r="E24" s="101"/>
      <c r="F24" s="64"/>
      <c r="G24" s="65"/>
      <c r="H24" s="215" t="str">
        <f t="shared" si="0"/>
        <v>-</v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0</v>
      </c>
    </row>
    <row r="25" spans="1:27" ht="13.9" customHeight="1">
      <c r="A25" s="85">
        <v>21</v>
      </c>
      <c r="B25" s="129"/>
      <c r="C25" s="130" t="s">
        <v>527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708</v>
      </c>
      <c r="C26" s="130" t="s">
        <v>562</v>
      </c>
      <c r="D26" s="62"/>
      <c r="E26" s="101">
        <v>45236</v>
      </c>
      <c r="F26" s="64">
        <v>700</v>
      </c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497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>
      <selection activeCell="F5" sqref="F5:G5"/>
    </sheetView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644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35.6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0.84640000000000004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>
        <v>45236</v>
      </c>
      <c r="D4" s="177" t="s">
        <v>323</v>
      </c>
      <c r="E4" s="27"/>
      <c r="F4" s="282" t="s">
        <v>774</v>
      </c>
      <c r="G4" s="283"/>
      <c r="H4" s="38"/>
    </row>
    <row r="5" spans="1:78" ht="15" customHeight="1">
      <c r="A5" s="38"/>
      <c r="B5" s="44" t="s">
        <v>224</v>
      </c>
      <c r="C5" s="48" t="s">
        <v>772</v>
      </c>
      <c r="D5" s="177" t="s">
        <v>226</v>
      </c>
      <c r="E5" s="27"/>
      <c r="F5" s="278" t="s">
        <v>839</v>
      </c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 t="s">
        <v>773</v>
      </c>
      <c r="D6" s="177" t="s">
        <v>273</v>
      </c>
      <c r="E6" s="27"/>
      <c r="F6" s="280" t="str">
        <f>IF('Navarik 설정'!C22="","",'Navarik 설정'!C22)</f>
        <v>Diesel Gasoil 0.05% S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>
        <v>0.998</v>
      </c>
      <c r="G7" s="212" t="s">
        <v>396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410</v>
      </c>
      <c r="C10" s="27" t="s">
        <v>685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>
        <v>261334</v>
      </c>
      <c r="D11" s="33">
        <v>41528.586000000003</v>
      </c>
      <c r="E11" s="33">
        <v>35104.199999999997</v>
      </c>
      <c r="F11" s="34" t="str">
        <f t="shared" ref="F11" si="0">IF(F12="","",F12)</f>
        <v/>
      </c>
      <c r="G11" s="32">
        <v>34549.699999999997</v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647</v>
      </c>
      <c r="C12" s="29">
        <v>261334</v>
      </c>
      <c r="D12" s="30">
        <v>41528.586000000003</v>
      </c>
      <c r="E12" s="30">
        <v>35104.199999999997</v>
      </c>
      <c r="F12" s="31"/>
      <c r="G12" s="29">
        <v>34549.699999999997</v>
      </c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>
        <f>IF(C12="","",C12)</f>
        <v>261334</v>
      </c>
      <c r="D13" s="33">
        <f t="shared" ref="D13:G13" si="1">IF(D12="","",D12)</f>
        <v>41528.586000000003</v>
      </c>
      <c r="E13" s="33">
        <f t="shared" si="1"/>
        <v>35104.199999999997</v>
      </c>
      <c r="F13" s="34" t="str">
        <f t="shared" si="1"/>
        <v/>
      </c>
      <c r="G13" s="32">
        <f t="shared" si="1"/>
        <v>34549.699999999997</v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 t="s">
        <v>775</v>
      </c>
      <c r="D15" s="46"/>
      <c r="E15" s="210" t="s">
        <v>650</v>
      </c>
      <c r="F15" s="39" t="s">
        <v>199</v>
      </c>
      <c r="G15" s="28">
        <v>0.84640000000000004</v>
      </c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>
        <v>34</v>
      </c>
      <c r="D16" s="26" t="s">
        <v>766</v>
      </c>
      <c r="E16" s="211" t="s">
        <v>397</v>
      </c>
      <c r="F16" s="39" t="s">
        <v>200</v>
      </c>
      <c r="G16" s="35">
        <v>35.6</v>
      </c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685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648</v>
      </c>
      <c r="C24" s="168">
        <f>IF(C25="","",C25)</f>
        <v>260992</v>
      </c>
      <c r="D24" s="169">
        <f>IF(D25="","",D25)</f>
        <v>41474.239000000001</v>
      </c>
      <c r="E24" s="169">
        <f>IF(E25="","",E25)</f>
        <v>35058.300000000003</v>
      </c>
      <c r="F24" s="172" t="str">
        <f>IF(F25="","",F25)</f>
        <v/>
      </c>
      <c r="G24" s="170">
        <f t="shared" ref="G24" si="6">IF(G25="","",G25)</f>
        <v>34504.5</v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649</v>
      </c>
      <c r="C25" s="165">
        <v>260992</v>
      </c>
      <c r="D25" s="166">
        <v>41474.239000000001</v>
      </c>
      <c r="E25" s="166">
        <v>35058.300000000003</v>
      </c>
      <c r="F25" s="171"/>
      <c r="G25" s="167">
        <v>34504.5</v>
      </c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>
        <f>IF(C25="","",C25)</f>
        <v>260992</v>
      </c>
      <c r="D26" s="169">
        <f t="shared" ref="D26:G26" si="7">IF(D25="","",D25)</f>
        <v>41474.239000000001</v>
      </c>
      <c r="E26" s="169">
        <f t="shared" si="7"/>
        <v>35058.300000000003</v>
      </c>
      <c r="F26" s="172" t="str">
        <f t="shared" si="7"/>
        <v/>
      </c>
      <c r="G26" s="170">
        <f t="shared" si="7"/>
        <v>34504.5</v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>6B</v>
      </c>
      <c r="D28" s="27"/>
      <c r="E28" s="27"/>
      <c r="F28" s="39" t="s">
        <v>199</v>
      </c>
      <c r="G28" s="106">
        <f>IF(G15="","",G15)</f>
        <v>0.84640000000000004</v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>
        <v>31.8</v>
      </c>
      <c r="D29" s="37" t="str">
        <f>IF(D16="","",D16)</f>
        <v>°C</v>
      </c>
      <c r="E29" s="27"/>
      <c r="F29" s="39" t="s">
        <v>200</v>
      </c>
      <c r="G29" s="107">
        <f>IF(G16="","",G16)</f>
        <v>35.6</v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°C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645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349</v>
      </c>
      <c r="C36" s="142">
        <f>IF(OR(C12="",C25=""),"",C25-C12)</f>
        <v>-342</v>
      </c>
      <c r="D36" s="142">
        <f>IF(OR(D12="",D25=""),"",D25-D12)</f>
        <v>-54.347000000001572</v>
      </c>
      <c r="E36" s="142">
        <f>IF(OR(E12="",E25=""),"",E25-E12)</f>
        <v>-45.899999999994179</v>
      </c>
      <c r="F36" s="142" t="str">
        <f>IF(OR(F12="",F25=""),"",F25-F12)</f>
        <v/>
      </c>
      <c r="G36" s="142">
        <f>IF(OR(G12="",G25=""),"",G25-G12)</f>
        <v>-45.19999999999709</v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350</v>
      </c>
      <c r="C37" s="143">
        <f>IF(OR(C12="",C25=""),"",C36/C12*100)</f>
        <v>-0.13086701309435436</v>
      </c>
      <c r="D37" s="143">
        <f t="shared" ref="D37:G37" si="8">IF(OR(D12="",D25=""),"",D36/D12*100)</f>
        <v>-0.13086648314970697</v>
      </c>
      <c r="E37" s="143">
        <f t="shared" si="8"/>
        <v>-0.13075358504108964</v>
      </c>
      <c r="F37" s="143" t="str">
        <f t="shared" si="8"/>
        <v/>
      </c>
      <c r="G37" s="143">
        <f t="shared" si="8"/>
        <v>-0.130826027432936</v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 activeCell="E13" sqref="E13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229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 t="s">
        <v>315</v>
      </c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 t="s">
        <v>776</v>
      </c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652</v>
      </c>
      <c r="C5" s="93" t="s">
        <v>266</v>
      </c>
      <c r="D5" s="122" t="s">
        <v>195</v>
      </c>
      <c r="E5" s="122" t="s">
        <v>17</v>
      </c>
      <c r="F5" s="291" t="s">
        <v>268</v>
      </c>
      <c r="G5" s="291"/>
      <c r="H5" s="89" t="s">
        <v>641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709</v>
      </c>
      <c r="D7" s="252" t="s">
        <v>777</v>
      </c>
      <c r="E7" s="133" t="s">
        <v>737</v>
      </c>
      <c r="F7" s="253"/>
      <c r="G7" s="22" t="s">
        <v>799</v>
      </c>
      <c r="H7" s="254" t="s">
        <v>759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710</v>
      </c>
      <c r="D8" s="252" t="s">
        <v>778</v>
      </c>
      <c r="E8" s="133" t="s">
        <v>738</v>
      </c>
      <c r="F8" s="253" t="s">
        <v>801</v>
      </c>
      <c r="G8" s="22" t="s">
        <v>800</v>
      </c>
      <c r="H8" s="254" t="s">
        <v>760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711</v>
      </c>
      <c r="D9" s="252" t="s">
        <v>779</v>
      </c>
      <c r="E9" s="133" t="s">
        <v>739</v>
      </c>
      <c r="F9" s="255"/>
      <c r="G9" s="22" t="s">
        <v>803</v>
      </c>
      <c r="H9" s="254" t="s">
        <v>760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712</v>
      </c>
      <c r="D10" s="252" t="s">
        <v>780</v>
      </c>
      <c r="E10" s="133" t="s">
        <v>740</v>
      </c>
      <c r="F10" s="253"/>
      <c r="G10" s="22" t="s">
        <v>804</v>
      </c>
      <c r="H10" s="254" t="s">
        <v>761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713</v>
      </c>
      <c r="D11" s="124" t="s">
        <v>781</v>
      </c>
      <c r="E11" s="133" t="s">
        <v>741</v>
      </c>
      <c r="F11" s="253"/>
      <c r="G11" s="22" t="s">
        <v>805</v>
      </c>
      <c r="H11" s="254" t="s">
        <v>762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714</v>
      </c>
      <c r="D12" s="252" t="s">
        <v>782</v>
      </c>
      <c r="E12" s="133" t="s">
        <v>739</v>
      </c>
      <c r="F12" s="253"/>
      <c r="G12" s="22" t="s">
        <v>803</v>
      </c>
      <c r="H12" s="21" t="s">
        <v>763</v>
      </c>
      <c r="I12" s="22" t="s">
        <v>806</v>
      </c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715</v>
      </c>
      <c r="D13" s="252" t="s">
        <v>783</v>
      </c>
      <c r="E13" s="133" t="s">
        <v>742</v>
      </c>
      <c r="F13" s="253"/>
      <c r="G13" s="22" t="s">
        <v>807</v>
      </c>
      <c r="H13" s="254" t="s">
        <v>764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716</v>
      </c>
      <c r="D14" s="252" t="s">
        <v>783</v>
      </c>
      <c r="E14" s="133" t="s">
        <v>743</v>
      </c>
      <c r="F14" s="253" t="s">
        <v>801</v>
      </c>
      <c r="G14" s="22" t="s">
        <v>808</v>
      </c>
      <c r="H14" s="254" t="s">
        <v>764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717</v>
      </c>
      <c r="D15" s="252" t="s">
        <v>784</v>
      </c>
      <c r="E15" s="133" t="s">
        <v>744</v>
      </c>
      <c r="F15" s="253"/>
      <c r="G15" s="22" t="s">
        <v>810</v>
      </c>
      <c r="H15" s="254" t="s">
        <v>765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718</v>
      </c>
      <c r="D16" s="252" t="s">
        <v>785</v>
      </c>
      <c r="E16" s="133" t="s">
        <v>745</v>
      </c>
      <c r="F16" s="253"/>
      <c r="G16" s="22" t="s">
        <v>811</v>
      </c>
      <c r="H16" s="254" t="s">
        <v>766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719</v>
      </c>
      <c r="D17" s="252" t="s">
        <v>785</v>
      </c>
      <c r="E17" s="133" t="s">
        <v>746</v>
      </c>
      <c r="F17" s="253"/>
      <c r="G17" s="22" t="s">
        <v>812</v>
      </c>
      <c r="H17" s="254" t="s">
        <v>766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720</v>
      </c>
      <c r="D18" s="252" t="s">
        <v>785</v>
      </c>
      <c r="E18" s="133" t="s">
        <v>747</v>
      </c>
      <c r="F18" s="253"/>
      <c r="G18" s="22" t="s">
        <v>813</v>
      </c>
      <c r="H18" s="254" t="s">
        <v>766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721</v>
      </c>
      <c r="D19" s="252" t="s">
        <v>785</v>
      </c>
      <c r="E19" s="133" t="s">
        <v>748</v>
      </c>
      <c r="F19" s="253"/>
      <c r="G19" s="22" t="s">
        <v>814</v>
      </c>
      <c r="H19" s="254" t="s">
        <v>766</v>
      </c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 t="s">
        <v>722</v>
      </c>
      <c r="D20" s="252" t="s">
        <v>785</v>
      </c>
      <c r="E20" s="133" t="s">
        <v>745</v>
      </c>
      <c r="F20" s="253"/>
      <c r="G20" s="22" t="s">
        <v>815</v>
      </c>
      <c r="H20" s="254" t="s">
        <v>766</v>
      </c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 t="s">
        <v>723</v>
      </c>
      <c r="D21" s="252" t="s">
        <v>785</v>
      </c>
      <c r="E21" s="133" t="s">
        <v>745</v>
      </c>
      <c r="F21" s="253"/>
      <c r="G21" s="22" t="s">
        <v>816</v>
      </c>
      <c r="H21" s="254" t="s">
        <v>766</v>
      </c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 t="s">
        <v>724</v>
      </c>
      <c r="D22" s="252" t="s">
        <v>786</v>
      </c>
      <c r="E22" s="133" t="s">
        <v>749</v>
      </c>
      <c r="F22" s="253"/>
      <c r="G22" s="22" t="s">
        <v>818</v>
      </c>
      <c r="H22" s="254" t="s">
        <v>766</v>
      </c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 t="s">
        <v>725</v>
      </c>
      <c r="D23" s="124" t="s">
        <v>787</v>
      </c>
      <c r="E23" s="133" t="s">
        <v>750</v>
      </c>
      <c r="F23" s="253"/>
      <c r="G23" s="22" t="s">
        <v>819</v>
      </c>
      <c r="H23" s="254" t="s">
        <v>767</v>
      </c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 t="s">
        <v>726</v>
      </c>
      <c r="D24" s="252" t="s">
        <v>788</v>
      </c>
      <c r="E24" s="133" t="s">
        <v>751</v>
      </c>
      <c r="F24" s="253" t="s">
        <v>801</v>
      </c>
      <c r="G24" s="22" t="s">
        <v>820</v>
      </c>
      <c r="H24" s="254" t="s">
        <v>762</v>
      </c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 t="s">
        <v>727</v>
      </c>
      <c r="D25" s="252" t="s">
        <v>789</v>
      </c>
      <c r="E25" s="133" t="s">
        <v>752</v>
      </c>
      <c r="F25" s="253" t="s">
        <v>801</v>
      </c>
      <c r="G25" s="22" t="s">
        <v>808</v>
      </c>
      <c r="H25" s="254" t="s">
        <v>768</v>
      </c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 t="s">
        <v>728</v>
      </c>
      <c r="D26" s="252" t="s">
        <v>790</v>
      </c>
      <c r="E26" s="133" t="s">
        <v>753</v>
      </c>
      <c r="F26" s="253"/>
      <c r="G26" s="22" t="s">
        <v>822</v>
      </c>
      <c r="H26" s="254" t="s">
        <v>769</v>
      </c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 t="s">
        <v>729</v>
      </c>
      <c r="D27" s="252" t="s">
        <v>791</v>
      </c>
      <c r="E27" s="133" t="s">
        <v>745</v>
      </c>
      <c r="F27" s="253"/>
      <c r="G27" s="22" t="s">
        <v>824</v>
      </c>
      <c r="H27" s="254" t="s">
        <v>739</v>
      </c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 t="s">
        <v>730</v>
      </c>
      <c r="D28" s="252" t="s">
        <v>792</v>
      </c>
      <c r="E28" s="133" t="s">
        <v>754</v>
      </c>
      <c r="F28" s="253"/>
      <c r="G28" s="22" t="s">
        <v>826</v>
      </c>
      <c r="H28" s="254" t="s">
        <v>770</v>
      </c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 t="s">
        <v>731</v>
      </c>
      <c r="D29" s="252" t="s">
        <v>793</v>
      </c>
      <c r="E29" s="133" t="s">
        <v>742</v>
      </c>
      <c r="F29" s="253"/>
      <c r="G29" s="22" t="s">
        <v>828</v>
      </c>
      <c r="H29" s="254" t="s">
        <v>766</v>
      </c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 t="s">
        <v>732</v>
      </c>
      <c r="D30" s="252" t="s">
        <v>794</v>
      </c>
      <c r="E30" s="133" t="s">
        <v>745</v>
      </c>
      <c r="F30" s="253"/>
      <c r="G30" s="22" t="s">
        <v>829</v>
      </c>
      <c r="H30" s="254" t="s">
        <v>766</v>
      </c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 t="s">
        <v>733</v>
      </c>
      <c r="D31" s="252" t="s">
        <v>795</v>
      </c>
      <c r="E31" s="133" t="s">
        <v>739</v>
      </c>
      <c r="F31" s="253"/>
      <c r="G31" s="22" t="s">
        <v>830</v>
      </c>
      <c r="H31" s="254" t="s">
        <v>766</v>
      </c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 t="s">
        <v>734</v>
      </c>
      <c r="D32" s="252" t="s">
        <v>796</v>
      </c>
      <c r="E32" s="133" t="s">
        <v>755</v>
      </c>
      <c r="F32" s="253" t="s">
        <v>801</v>
      </c>
      <c r="G32" s="22" t="s">
        <v>831</v>
      </c>
      <c r="H32" s="254" t="s">
        <v>771</v>
      </c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 t="s">
        <v>735</v>
      </c>
      <c r="D33" s="252" t="s">
        <v>797</v>
      </c>
      <c r="E33" s="133" t="s">
        <v>756</v>
      </c>
      <c r="F33" s="253"/>
      <c r="G33" s="22" t="s">
        <v>833</v>
      </c>
      <c r="H33" s="254" t="s">
        <v>761</v>
      </c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 t="s">
        <v>736</v>
      </c>
      <c r="D34" s="124" t="s">
        <v>798</v>
      </c>
      <c r="E34" s="133" t="s">
        <v>757</v>
      </c>
      <c r="F34" s="253" t="s">
        <v>801</v>
      </c>
      <c r="G34" s="22" t="s">
        <v>834</v>
      </c>
      <c r="H34" s="21" t="s">
        <v>761</v>
      </c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90"/>
      <c r="G85" s="290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45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DBFEB5B3-7B24-499C-8E89-9A9C6ACD6220}">
      <formula1>"* ,[ASTM] D1298,[ASTM] D4052"</formula1>
    </dataValidation>
    <dataValidation type="list" allowBlank="1" showInputMessage="1" showErrorMessage="1" sqref="D8" xr:uid="{39864CBE-A49A-4384-AAF6-17D90E46661C}">
      <formula1>"* ,[ASTM] D6045,[ASTM] D1500"</formula1>
    </dataValidation>
    <dataValidation type="list" allowBlank="1" showInputMessage="1" showErrorMessage="1" sqref="D9" xr:uid="{2690607D-F6B7-401B-BE7D-CC96BCB07723}">
      <formula1>"* ,[ASTM] D4176 Procedure 2"</formula1>
    </dataValidation>
    <dataValidation type="list" allowBlank="1" showInputMessage="1" showErrorMessage="1" sqref="D10" xr:uid="{E54EE31B-5D7F-4D94-950C-9717286C02D8}">
      <formula1>"* ,[ASTM] D5453,[ASTM] D2622,[ASTM] D1266,[ASTM] D7039,[IP] IP 336"</formula1>
    </dataValidation>
    <dataValidation type="list" allowBlank="1" showInputMessage="1" showErrorMessage="1" sqref="D11" xr:uid="{6EDE6BD3-AE53-41C5-99CE-E410D1843C4B}">
      <formula1>"[IP] IP 391"</formula1>
    </dataValidation>
    <dataValidation type="list" allowBlank="1" showInputMessage="1" showErrorMessage="1" sqref="D12" xr:uid="{0B6EB3C8-93BC-4E84-9273-6361B85DC2C8}">
      <formula1>"* ,[ASTM] D130"</formula1>
    </dataValidation>
    <dataValidation type="list" allowBlank="1" showInputMessage="1" showErrorMessage="1" sqref="D13 D14" xr:uid="{2B03F339-5BE2-40BF-8C09-01ECB85CFCF7}">
      <formula1>"* ,[ASTM] D664"</formula1>
    </dataValidation>
    <dataValidation type="list" allowBlank="1" showInputMessage="1" showErrorMessage="1" sqref="D15" xr:uid="{751AC3D2-59F9-47DA-BC36-3A3C13847798}">
      <formula1>"* ,[ASTM] D6079"</formula1>
    </dataValidation>
    <dataValidation type="list" allowBlank="1" showInputMessage="1" showErrorMessage="1" sqref="D16 D17 D18 D19 D20 D21" xr:uid="{BB05A268-FE2D-4276-B86E-81DFF8F729C7}">
      <formula1>"* ,[ASTM] D86"</formula1>
    </dataValidation>
    <dataValidation type="list" allowBlank="1" showInputMessage="1" showErrorMessage="1" sqref="D22" xr:uid="{CF9EB69A-ABEF-4ABB-A2B0-909455D617BF}">
      <formula1>"* ,[ASTM] D93"</formula1>
    </dataValidation>
    <dataValidation type="list" allowBlank="1" showInputMessage="1" showErrorMessage="1" sqref="D23" xr:uid="{362AB6F0-33EF-4C9E-861B-2833E06F7335}">
      <formula1>"[ASTM] D2274"</formula1>
    </dataValidation>
    <dataValidation type="list" allowBlank="1" showInputMessage="1" showErrorMessage="1" sqref="D24" xr:uid="{92D2E2A6-2550-4FEA-BA84-B53922098B52}">
      <formula1>"* ,[ASTM] D482"</formula1>
    </dataValidation>
    <dataValidation type="list" allowBlank="1" showInputMessage="1" showErrorMessage="1" sqref="D25" xr:uid="{DF0CF3F9-F3DC-46BE-9A52-6BEBB27B3701}">
      <formula1>"* ,[ASTM] D189,[ASTM] D4530"</formula1>
    </dataValidation>
    <dataValidation type="list" allowBlank="1" showInputMessage="1" showErrorMessage="1" sqref="D26" xr:uid="{15E88A28-0B8F-4F2D-87F9-3CAC4CDA5E48}">
      <formula1>"* ,[ASTM] D4737"</formula1>
    </dataValidation>
    <dataValidation type="list" allowBlank="1" showInputMessage="1" showErrorMessage="1" sqref="D27" xr:uid="{F5DAD9A5-AFFD-4010-9031-EFB83C0570AC}">
      <formula1>"* ,[ASTM] D613"</formula1>
    </dataValidation>
    <dataValidation type="list" allowBlank="1" showInputMessage="1" showErrorMessage="1" sqref="D28" xr:uid="{5B9C65D0-4CEE-417C-A2A4-A3F8C728B906}">
      <formula1>"* ,[ASTM] D445"</formula1>
    </dataValidation>
    <dataValidation type="list" allowBlank="1" showInputMessage="1" showErrorMessage="1" sqref="D29" xr:uid="{4A0936FC-B524-4128-B7FD-EF05AF7E23B6}">
      <formula1>"* ,[ASTM] D97"</formula1>
    </dataValidation>
    <dataValidation type="list" allowBlank="1" showInputMessage="1" showErrorMessage="1" sqref="D30" xr:uid="{8FD9FD55-0320-4B5F-B92F-5BF4A033789D}">
      <formula1>"* ,[ASTM] D6371,[IP] IP 309"</formula1>
    </dataValidation>
    <dataValidation type="list" allowBlank="1" showInputMessage="1" showErrorMessage="1" sqref="D31" xr:uid="{61A4FCC2-6A73-4E6A-BCD0-842E944C4BEF}">
      <formula1>"[ASTM] D2500,[ASTM] D5773"</formula1>
    </dataValidation>
    <dataValidation type="list" allowBlank="1" showInputMessage="1" showErrorMessage="1" sqref="D32" xr:uid="{480EBC62-9D47-45AE-B184-CA29BB53A7C7}">
      <formula1>"* ,[ASTM] D2709"</formula1>
    </dataValidation>
    <dataValidation type="list" allowBlank="1" showInputMessage="1" showErrorMessage="1" sqref="D33" xr:uid="{93D56374-366E-466A-B4D9-51E7495F4F37}">
      <formula1>"* ,[ASTM] D6304"</formula1>
    </dataValidation>
    <dataValidation type="list" allowBlank="1" showInputMessage="1" showErrorMessage="1" sqref="D34" xr:uid="{7502362D-C104-45C4-8C9E-A83ED76A3871}">
      <formula1>"[IP] IP 570 - Procedure A"</formula1>
    </dataValidation>
    <dataValidation type="list" allowBlank="1" showInputMessage="1" showErrorMessage="1" sqref="H7" xr:uid="{CB0B2E82-A771-4E34-8735-79F16140EB7F}">
      <formula1>"g/ cc,g/l,g/cm³,g/ml,kg/m³,kg/l,n/a,tonne/m³"</formula1>
    </dataValidation>
    <dataValidation type="list" allowBlank="1" showInputMessage="1" showErrorMessage="1" sqref="H8 H9" xr:uid="{DE6A5DB3-FFE6-4DF1-A312-6C476C731407}">
      <formula1>"haze no,pass/fail,rating,visual"</formula1>
    </dataValidation>
    <dataValidation type="list" allowBlank="1" showInputMessage="1" showErrorMessage="1" sqref="H10" xr:uid="{42C0C76C-3F42-4223-B351-2B02BA286496}">
      <formula1>"μg/g,mg/kg,mg/l,ppm,%m,%m/m,%wt"</formula1>
    </dataValidation>
    <dataValidation type="list" allowBlank="1" showInputMessage="1" showErrorMessage="1" sqref="H11" xr:uid="{662D7C82-1102-4044-A977-08124D1D0992}">
      <formula1>"ppm,%liq vol,%m/m,%mole,%wt,%vol"</formula1>
    </dataValidation>
    <dataValidation type="list" allowBlank="1" showInputMessage="1" showErrorMessage="1" sqref="H12" xr:uid="{1D9B8C2D-D965-48C3-AD6D-A015A7482BD6}">
      <formula1>"rating"</formula1>
    </dataValidation>
    <dataValidation type="list" allowBlank="1" showInputMessage="1" showErrorMessage="1" sqref="H13 H14" xr:uid="{80AC1D26-FA28-43DA-BC1A-856D3F852F0D}">
      <formula1>"mg KOH/g,mg NaOH/100ml,mg NaOH/g,mg/kg,mg/l"</formula1>
    </dataValidation>
    <dataValidation type="list" allowBlank="1" showInputMessage="1" showErrorMessage="1" sqref="H15" xr:uid="{30B5E39A-FA55-479E-9A56-736067360E33}">
      <formula1>"°C,μm,mm"</formula1>
    </dataValidation>
    <dataValidation type="list" allowBlank="1" showInputMessage="1" showErrorMessage="1" sqref="H16 H17 H18 H19 H20 H21" xr:uid="{08A1D4AF-A217-4718-9F67-8852C79DCE63}">
      <formula1>"°C,°F,%,%vol"</formula1>
    </dataValidation>
    <dataValidation type="list" allowBlank="1" showInputMessage="1" showErrorMessage="1" sqref="H22" xr:uid="{04C5C103-171E-4AF7-AD97-E0AEA46A1AE8}">
      <formula1>"°C,°F,Yes/No"</formula1>
    </dataValidation>
    <dataValidation type="list" allowBlank="1" showInputMessage="1" showErrorMessage="1" sqref="H23" xr:uid="{92C27088-5361-4D3D-AA15-E54CCCAE89AE}">
      <formula1>"g/cm³,g/m³,hrs,kg/m³,mg/100ml,mg/l,mins,rating"</formula1>
    </dataValidation>
    <dataValidation type="list" allowBlank="1" showInputMessage="1" showErrorMessage="1" sqref="H24" xr:uid="{3BCFFB14-B170-4457-931D-E0BB7880C7A2}">
      <formula1>"ppm w/w,%m,%m/m,%wt"</formula1>
    </dataValidation>
    <dataValidation type="list" allowBlank="1" showInputMessage="1" showErrorMessage="1" sqref="H25" xr:uid="{C7FC3D67-FE76-451A-B2A8-7A1400B7AFB5}">
      <formula1>"LT,MT (Vac),%m/m,%wt"</formula1>
    </dataValidation>
    <dataValidation type="list" allowBlank="1" showInputMessage="1" showErrorMessage="1" sqref="H26" xr:uid="{01D166B1-D290-4648-BD46-7EEE3BEAE161}">
      <formula1>"calc,rating"</formula1>
    </dataValidation>
    <dataValidation type="list" allowBlank="1" showInputMessage="1" showErrorMessage="1" sqref="H27" xr:uid="{AF00623D-C894-46AA-AB7D-645A2F00BC59}">
      <formula1>"mg/kg,mg/m³,n/a,rating"</formula1>
    </dataValidation>
    <dataValidation type="list" allowBlank="1" showInputMessage="1" showErrorMessage="1" sqref="H28" xr:uid="{BF13138C-B0D4-4747-A761-4C968E6E0D26}">
      <formula1>"cSt,Engler,mm²/s,Pa·s,SUS"</formula1>
    </dataValidation>
    <dataValidation type="list" allowBlank="1" showInputMessage="1" showErrorMessage="1" sqref="H29 H30 H31" xr:uid="{1C75D375-5845-4634-B355-0C9E48185344}">
      <formula1>"°C,°F"</formula1>
    </dataValidation>
    <dataValidation type="list" allowBlank="1" showInputMessage="1" showErrorMessage="1" sqref="H32" xr:uid="{DBE95A08-799B-44CB-9C43-92CB65ADBDC9}">
      <formula1>"%wt,%vol"</formula1>
    </dataValidation>
    <dataValidation type="list" allowBlank="1" showInputMessage="1" showErrorMessage="1" sqref="H33" xr:uid="{5314CD07-3091-4F2A-9F6C-DF58E2850808}">
      <formula1>"mg/kg,ppm,%wt,%vol"</formula1>
    </dataValidation>
    <dataValidation type="list" allowBlank="1" showInputMessage="1" showErrorMessage="1" sqref="H34" xr:uid="{D5584CE6-0470-489A-9614-C81A2422B079}">
      <formula1>"mg/kg"</formula1>
    </dataValidation>
    <dataValidation type="list" allowBlank="1" showInputMessage="1" showErrorMessage="1" sqref="F7 F8 F10 F11 F12 F13 F14 F15 F16 F17 F18 F19 F20 F21 F22 F23 F24 F25 F26 F27 F28 F29 F30 F31 F32 F33 F34" xr:uid="{49D89A06-4321-4ADA-B4DD-EDFFD48400BD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 activeCell="G25" sqref="G25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230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 t="s">
        <v>315</v>
      </c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 t="s">
        <v>776</v>
      </c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641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709</v>
      </c>
      <c r="D7" s="252" t="s">
        <v>777</v>
      </c>
      <c r="E7" s="133" t="s">
        <v>737</v>
      </c>
      <c r="F7" s="253"/>
      <c r="G7" s="22" t="s">
        <v>799</v>
      </c>
      <c r="H7" s="254" t="s">
        <v>759</v>
      </c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 t="s">
        <v>710</v>
      </c>
      <c r="D8" s="252" t="s">
        <v>778</v>
      </c>
      <c r="E8" s="133" t="s">
        <v>738</v>
      </c>
      <c r="F8" s="253" t="s">
        <v>801</v>
      </c>
      <c r="G8" s="22" t="s">
        <v>835</v>
      </c>
      <c r="H8" s="254" t="s">
        <v>760</v>
      </c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 t="s">
        <v>711</v>
      </c>
      <c r="D9" s="252" t="s">
        <v>779</v>
      </c>
      <c r="E9" s="133" t="s">
        <v>739</v>
      </c>
      <c r="F9" s="255"/>
      <c r="G9" s="22" t="s">
        <v>802</v>
      </c>
      <c r="H9" s="254" t="s">
        <v>760</v>
      </c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 t="s">
        <v>712</v>
      </c>
      <c r="D10" s="252" t="s">
        <v>780</v>
      </c>
      <c r="E10" s="133" t="s">
        <v>740</v>
      </c>
      <c r="F10" s="253"/>
      <c r="G10" s="22" t="s">
        <v>804</v>
      </c>
      <c r="H10" s="254" t="s">
        <v>761</v>
      </c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 t="s">
        <v>714</v>
      </c>
      <c r="D11" s="252" t="s">
        <v>782</v>
      </c>
      <c r="E11" s="133" t="s">
        <v>758</v>
      </c>
      <c r="F11" s="253"/>
      <c r="G11" s="22" t="s">
        <v>806</v>
      </c>
      <c r="H11" s="21" t="s">
        <v>763</v>
      </c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 t="s">
        <v>715</v>
      </c>
      <c r="D12" s="252" t="s">
        <v>783</v>
      </c>
      <c r="E12" s="133" t="s">
        <v>742</v>
      </c>
      <c r="F12" s="253"/>
      <c r="G12" s="22" t="s">
        <v>663</v>
      </c>
      <c r="H12" s="254" t="s">
        <v>764</v>
      </c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 t="s">
        <v>716</v>
      </c>
      <c r="D13" s="252" t="s">
        <v>783</v>
      </c>
      <c r="E13" s="133" t="s">
        <v>743</v>
      </c>
      <c r="F13" s="253" t="s">
        <v>801</v>
      </c>
      <c r="G13" s="22" t="s">
        <v>836</v>
      </c>
      <c r="H13" s="254" t="s">
        <v>764</v>
      </c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 t="s">
        <v>717</v>
      </c>
      <c r="D14" s="252" t="s">
        <v>784</v>
      </c>
      <c r="E14" s="133" t="s">
        <v>744</v>
      </c>
      <c r="F14" s="253"/>
      <c r="G14" s="22" t="s">
        <v>809</v>
      </c>
      <c r="H14" s="254" t="s">
        <v>765</v>
      </c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 t="s">
        <v>721</v>
      </c>
      <c r="D15" s="124" t="s">
        <v>785</v>
      </c>
      <c r="E15" s="133" t="s">
        <v>748</v>
      </c>
      <c r="F15" s="253"/>
      <c r="G15" s="22" t="s">
        <v>814</v>
      </c>
      <c r="H15" s="254" t="s">
        <v>766</v>
      </c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 t="s">
        <v>722</v>
      </c>
      <c r="D16" s="252" t="s">
        <v>785</v>
      </c>
      <c r="E16" s="133" t="s">
        <v>745</v>
      </c>
      <c r="F16" s="253"/>
      <c r="G16" s="22" t="s">
        <v>815</v>
      </c>
      <c r="H16" s="254" t="s">
        <v>766</v>
      </c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 t="s">
        <v>724</v>
      </c>
      <c r="D17" s="252" t="s">
        <v>786</v>
      </c>
      <c r="E17" s="133" t="s">
        <v>749</v>
      </c>
      <c r="F17" s="253"/>
      <c r="G17" s="22" t="s">
        <v>817</v>
      </c>
      <c r="H17" s="254" t="s">
        <v>766</v>
      </c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 t="s">
        <v>726</v>
      </c>
      <c r="D18" s="252" t="s">
        <v>788</v>
      </c>
      <c r="E18" s="133" t="s">
        <v>751</v>
      </c>
      <c r="F18" s="253" t="s">
        <v>801</v>
      </c>
      <c r="G18" s="22" t="s">
        <v>837</v>
      </c>
      <c r="H18" s="254" t="s">
        <v>762</v>
      </c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 t="s">
        <v>727</v>
      </c>
      <c r="D19" s="252" t="s">
        <v>789</v>
      </c>
      <c r="E19" s="133" t="s">
        <v>752</v>
      </c>
      <c r="F19" s="253" t="s">
        <v>801</v>
      </c>
      <c r="G19" s="22" t="s">
        <v>836</v>
      </c>
      <c r="H19" s="254" t="s">
        <v>768</v>
      </c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 t="s">
        <v>728</v>
      </c>
      <c r="D20" s="252" t="s">
        <v>790</v>
      </c>
      <c r="E20" s="133" t="s">
        <v>753</v>
      </c>
      <c r="F20" s="253"/>
      <c r="G20" s="22" t="s">
        <v>821</v>
      </c>
      <c r="H20" s="254" t="s">
        <v>769</v>
      </c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 t="s">
        <v>729</v>
      </c>
      <c r="D21" s="252" t="s">
        <v>791</v>
      </c>
      <c r="E21" s="133" t="s">
        <v>745</v>
      </c>
      <c r="F21" s="253"/>
      <c r="G21" s="22" t="s">
        <v>823</v>
      </c>
      <c r="H21" s="254" t="s">
        <v>739</v>
      </c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 t="s">
        <v>730</v>
      </c>
      <c r="D22" s="252" t="s">
        <v>792</v>
      </c>
      <c r="E22" s="133" t="s">
        <v>754</v>
      </c>
      <c r="F22" s="253"/>
      <c r="G22" s="22" t="s">
        <v>825</v>
      </c>
      <c r="H22" s="254" t="s">
        <v>770</v>
      </c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 t="s">
        <v>731</v>
      </c>
      <c r="D23" s="252" t="s">
        <v>793</v>
      </c>
      <c r="E23" s="133" t="s">
        <v>742</v>
      </c>
      <c r="F23" s="253"/>
      <c r="G23" s="22" t="s">
        <v>827</v>
      </c>
      <c r="H23" s="254" t="s">
        <v>766</v>
      </c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 t="s">
        <v>734</v>
      </c>
      <c r="D24" s="252" t="s">
        <v>796</v>
      </c>
      <c r="E24" s="133" t="s">
        <v>755</v>
      </c>
      <c r="F24" s="253" t="s">
        <v>801</v>
      </c>
      <c r="G24" s="22" t="s">
        <v>838</v>
      </c>
      <c r="H24" s="254" t="s">
        <v>771</v>
      </c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 t="s">
        <v>735</v>
      </c>
      <c r="D25" s="252" t="s">
        <v>797</v>
      </c>
      <c r="E25" s="133" t="s">
        <v>756</v>
      </c>
      <c r="F25" s="253"/>
      <c r="G25" s="22" t="s">
        <v>832</v>
      </c>
      <c r="H25" s="254" t="s">
        <v>761</v>
      </c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8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  <dataValidation type="list" allowBlank="1" showInputMessage="1" showErrorMessage="1" sqref="D7" xr:uid="{67719549-788A-4492-A31D-9165B99A7899}">
      <formula1>"* ,[ASTM] D4052,[ASTM] D1298"</formula1>
    </dataValidation>
    <dataValidation type="list" allowBlank="1" showInputMessage="1" showErrorMessage="1" sqref="D8" xr:uid="{A293CCDA-55FA-498A-9E1E-DB329B64E1EE}">
      <formula1>"* ,[ASTM] D6045,[ASTM] D1500"</formula1>
    </dataValidation>
    <dataValidation type="list" allowBlank="1" showInputMessage="1" showErrorMessage="1" sqref="D9" xr:uid="{0513D9CA-7F06-48C3-BD81-AA816ACB9FCB}">
      <formula1>"* ,[ASTM] D4176 Procedure 2"</formula1>
    </dataValidation>
    <dataValidation type="list" allowBlank="1" showInputMessage="1" showErrorMessage="1" sqref="D10" xr:uid="{C14381C3-32E7-4BF0-ABDF-3A58DE2697C2}">
      <formula1>"* ,[ASTM] D2622,[IP] IP 336,[ASTM] D7039,[ASTM] D1266,[ASTM] D5453"</formula1>
    </dataValidation>
    <dataValidation type="list" allowBlank="1" showInputMessage="1" showErrorMessage="1" sqref="D11" xr:uid="{A1253637-9F51-47E2-957A-79CAADFCFF46}">
      <formula1>"* ,[ASTM] D130"</formula1>
    </dataValidation>
    <dataValidation type="list" allowBlank="1" showInputMessage="1" showErrorMessage="1" sqref="D12 D13" xr:uid="{F74DA5AF-1AA4-49A8-8DFC-4BFCAE5AB15B}">
      <formula1>"* ,[ASTM] D664"</formula1>
    </dataValidation>
    <dataValidation type="list" allowBlank="1" showInputMessage="1" showErrorMessage="1" sqref="D14" xr:uid="{575EF73A-BD08-4959-8D0E-55978C84FDF7}">
      <formula1>"* ,[ASTM] D6079"</formula1>
    </dataValidation>
    <dataValidation type="list" allowBlank="1" showInputMessage="1" showErrorMessage="1" sqref="D15" xr:uid="{B27F0834-6797-4B5E-BCDC-FF4758F3EE49}">
      <formula1>"[ASTM] D86"</formula1>
    </dataValidation>
    <dataValidation type="list" allowBlank="1" showInputMessage="1" showErrorMessage="1" sqref="D16" xr:uid="{5A9B4E9F-C64E-44EC-8D60-F03315E35E89}">
      <formula1>"* ,[ASTM] D86"</formula1>
    </dataValidation>
    <dataValidation type="list" allowBlank="1" showInputMessage="1" showErrorMessage="1" sqref="D17" xr:uid="{EB36FD31-EE07-4579-9DB0-75F50405EC11}">
      <formula1>"* ,[ASTM] D93"</formula1>
    </dataValidation>
    <dataValidation type="list" allowBlank="1" showInputMessage="1" showErrorMessage="1" sqref="D18" xr:uid="{23B6BD70-326E-48FD-A7A7-588E70BBD3F6}">
      <formula1>"* ,[ASTM] D482"</formula1>
    </dataValidation>
    <dataValidation type="list" allowBlank="1" showInputMessage="1" showErrorMessage="1" sqref="D19" xr:uid="{4DAC4E9B-110D-4081-B071-C44B33158798}">
      <formula1>"* ,[ASTM] D4530,[ASTM] D189"</formula1>
    </dataValidation>
    <dataValidation type="list" allowBlank="1" showInputMessage="1" showErrorMessage="1" sqref="D20" xr:uid="{DE0888E1-8402-4E7A-9A7A-E65254AF4526}">
      <formula1>"* ,[ASTM] D4737"</formula1>
    </dataValidation>
    <dataValidation type="list" allowBlank="1" showInputMessage="1" showErrorMessage="1" sqref="D21" xr:uid="{1ACD4A9E-5ED9-4AEF-A035-006BBE4D28D9}">
      <formula1>"* ,[ASTM] D613"</formula1>
    </dataValidation>
    <dataValidation type="list" allowBlank="1" showInputMessage="1" showErrorMessage="1" sqref="D22" xr:uid="{5E7FFC5A-0C1E-48C8-B44F-09B008E6F8D3}">
      <formula1>"* ,[ASTM] D445"</formula1>
    </dataValidation>
    <dataValidation type="list" allowBlank="1" showInputMessage="1" showErrorMessage="1" sqref="D23" xr:uid="{B96FB427-F96D-4310-965A-B0A6CBA9A034}">
      <formula1>"* ,[ASTM] D97"</formula1>
    </dataValidation>
    <dataValidation type="list" allowBlank="1" showInputMessage="1" showErrorMessage="1" sqref="D24" xr:uid="{C5E3A5DD-0378-4206-9AC8-BBBBB5CB47BF}">
      <formula1>"* ,[ASTM] D2709"</formula1>
    </dataValidation>
    <dataValidation type="list" allowBlank="1" showInputMessage="1" showErrorMessage="1" sqref="D25" xr:uid="{1DBC9ADD-1E58-4993-9B45-D3A51CC3EDAC}">
      <formula1>"* ,[ASTM] D6304"</formula1>
    </dataValidation>
    <dataValidation type="list" allowBlank="1" showInputMessage="1" showErrorMessage="1" sqref="H7" xr:uid="{2B79088C-85D3-4E4E-95CE-BC0EB42414D6}">
      <formula1>"g/ cc,g/l,g/cm³,g/ml,kg/m³,kg/l,n/a,tonne/m³"</formula1>
    </dataValidation>
    <dataValidation type="list" allowBlank="1" showInputMessage="1" showErrorMessage="1" sqref="H8 H9" xr:uid="{455D6733-3B6C-4D78-B3A6-4F1037825DBA}">
      <formula1>"haze no,pass/fail,rating,visual"</formula1>
    </dataValidation>
    <dataValidation type="list" allowBlank="1" showInputMessage="1" showErrorMessage="1" sqref="H10" xr:uid="{8F5726B2-45ED-4A53-9508-138B17E23F41}">
      <formula1>"μg/g,mg/kg,mg/l,ppm,%m,%m/m,%wt"</formula1>
    </dataValidation>
    <dataValidation type="list" allowBlank="1" showInputMessage="1" showErrorMessage="1" sqref="H11" xr:uid="{4D84A9FD-316A-499F-AC20-D8E78C3D4EC2}">
      <formula1>"rating"</formula1>
    </dataValidation>
    <dataValidation type="list" allowBlank="1" showInputMessage="1" showErrorMessage="1" sqref="H12 H13" xr:uid="{23AE5FE7-DC00-44BC-9EC5-284F094524E3}">
      <formula1>"mg KOH/g,mg NaOH/100ml,mg NaOH/g,mg/kg,mg/l"</formula1>
    </dataValidation>
    <dataValidation type="list" allowBlank="1" showInputMessage="1" showErrorMessage="1" sqref="H14" xr:uid="{BD68F354-8E77-4DA4-AD2B-04F093C99812}">
      <formula1>"°C,μm,mm"</formula1>
    </dataValidation>
    <dataValidation type="list" allowBlank="1" showInputMessage="1" showErrorMessage="1" sqref="H15 H16" xr:uid="{FB44F2CC-6B90-4CD7-9E4B-79A4D784BD0A}">
      <formula1>"°C,°F,%,%vol"</formula1>
    </dataValidation>
    <dataValidation type="list" allowBlank="1" showInputMessage="1" showErrorMessage="1" sqref="H17" xr:uid="{55E607E7-5FF6-49BE-9B78-34F6671A0ABE}">
      <formula1>"°C,°F,Yes/No"</formula1>
    </dataValidation>
    <dataValidation type="list" allowBlank="1" showInputMessage="1" showErrorMessage="1" sqref="H18" xr:uid="{E776E6D2-0EAD-474F-A0E8-066C9A99F19B}">
      <formula1>"ppm w/w,%m,%m/m,%wt"</formula1>
    </dataValidation>
    <dataValidation type="list" allowBlank="1" showInputMessage="1" showErrorMessage="1" sqref="H19" xr:uid="{DE87ED07-0C2A-4FD9-9E01-56A9B3FBB0F6}">
      <formula1>"LT,MT (Vac),%m/m,%wt"</formula1>
    </dataValidation>
    <dataValidation type="list" allowBlank="1" showInputMessage="1" showErrorMessage="1" sqref="H20" xr:uid="{E95F5010-D883-40B3-83AA-F88572C9BEDC}">
      <formula1>"calc,rating"</formula1>
    </dataValidation>
    <dataValidation type="list" allowBlank="1" showInputMessage="1" showErrorMessage="1" sqref="H21" xr:uid="{F3BEC5AB-0616-4D2B-B869-DB74BDD128AC}">
      <formula1>"mg/kg,mg/m³,n/a,rating"</formula1>
    </dataValidation>
    <dataValidation type="list" allowBlank="1" showInputMessage="1" showErrorMessage="1" sqref="H22" xr:uid="{9B3887BC-90D1-49B0-9887-83430738D25D}">
      <formula1>"cSt,Engler,mm²/s,Pa·s,SUS"</formula1>
    </dataValidation>
    <dataValidation type="list" allowBlank="1" showInputMessage="1" showErrorMessage="1" sqref="H23" xr:uid="{9E71DB2F-B4D5-450E-9C89-5A16FD568664}">
      <formula1>"°C,°F"</formula1>
    </dataValidation>
    <dataValidation type="list" allowBlank="1" showInputMessage="1" showErrorMessage="1" sqref="H24" xr:uid="{AF7431CF-858A-4174-8906-478680EE6A98}">
      <formula1>"%wt,%vol"</formula1>
    </dataValidation>
    <dataValidation type="list" allowBlank="1" showInputMessage="1" showErrorMessage="1" sqref="H25" xr:uid="{0453CE81-5F10-4519-8B66-0B35C63DC2C1}">
      <formula1>"mg/kg,ppm,%wt,%vol"</formula1>
    </dataValidation>
    <dataValidation type="list" allowBlank="1" showInputMessage="1" showErrorMessage="1" sqref="F7 F8 F10 F11 F12 F13 F14 F15 F16 F17 F18 F19 F20 F21 F22 F23 F24 F25" xr:uid="{AB308137-595C-4A8B-9FD8-D227F8B3119C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232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641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233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641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234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641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235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641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236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641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237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641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238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641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641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374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374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374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374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374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374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374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374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374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374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374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374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374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374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374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374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374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374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374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374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374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374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374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374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374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374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374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374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374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374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374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374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374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374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374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374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374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374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374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374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374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374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374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374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374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374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375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375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375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375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375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375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375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375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375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375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375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375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375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375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375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375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375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375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375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375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375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377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377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377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377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377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377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377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377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377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377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377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377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377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376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376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376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376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376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399</v>
      </c>
      <c r="B86" s="163">
        <f ca="1">TODAY()</f>
        <v>45236</v>
      </c>
      <c r="I86" t="s">
        <v>259</v>
      </c>
      <c r="J86" t="s">
        <v>260</v>
      </c>
      <c r="K86" t="s">
        <v>259</v>
      </c>
      <c r="L86" s="159" t="s">
        <v>394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55" t="s">
        <v>690</v>
      </c>
      <c r="K87" t="s">
        <v>686</v>
      </c>
      <c r="L87" s="155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55" t="s">
        <v>691</v>
      </c>
      <c r="K88" t="s">
        <v>687</v>
      </c>
      <c r="L88" s="155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55" t="s">
        <v>692</v>
      </c>
      <c r="K89" t="s">
        <v>688</v>
      </c>
      <c r="L89" s="155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55" t="s">
        <v>692</v>
      </c>
      <c r="K90" t="s">
        <v>689</v>
      </c>
      <c r="L90" s="155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55" t="s">
        <v>694</v>
      </c>
      <c r="K91" t="s">
        <v>693</v>
      </c>
      <c r="L91" s="155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583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584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585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586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587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588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589</v>
      </c>
      <c r="I107" s="161" t="s">
        <v>411</v>
      </c>
      <c r="J107" s="161" t="s">
        <v>400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590</v>
      </c>
      <c r="I108" s="161" t="s">
        <v>412</v>
      </c>
      <c r="J108" s="161" t="s">
        <v>401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591</v>
      </c>
      <c r="I109" s="161" t="s">
        <v>413</v>
      </c>
      <c r="J109" t="s">
        <v>402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592</v>
      </c>
      <c r="I110" s="161" t="s">
        <v>414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593</v>
      </c>
      <c r="I111" s="161" t="s">
        <v>415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594</v>
      </c>
      <c r="I112" s="161" t="s">
        <v>416</v>
      </c>
      <c r="J112" t="s">
        <v>403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595</v>
      </c>
      <c r="I113" s="161" t="s">
        <v>417</v>
      </c>
      <c r="J113" t="s">
        <v>405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596</v>
      </c>
      <c r="I114" s="161" t="s">
        <v>418</v>
      </c>
      <c r="J114" t="s">
        <v>404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597</v>
      </c>
      <c r="I115" s="161" t="s">
        <v>419</v>
      </c>
      <c r="J115" s="161" t="s">
        <v>351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598</v>
      </c>
      <c r="I116" s="161" t="s">
        <v>420</v>
      </c>
      <c r="J116" s="161" t="s">
        <v>352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599</v>
      </c>
      <c r="J117" s="161" t="s">
        <v>353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600</v>
      </c>
      <c r="I118" s="161" t="s">
        <v>411</v>
      </c>
      <c r="J118" s="161" t="s">
        <v>354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601</v>
      </c>
      <c r="I119" s="161" t="s">
        <v>412</v>
      </c>
      <c r="J119" s="161" t="s">
        <v>355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602</v>
      </c>
      <c r="I120" s="161" t="s">
        <v>413</v>
      </c>
      <c r="J120" s="161" t="s">
        <v>356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603</v>
      </c>
      <c r="I121" s="161" t="s">
        <v>414</v>
      </c>
      <c r="J121" s="161" t="s">
        <v>357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604</v>
      </c>
      <c r="I122" s="161" t="s">
        <v>415</v>
      </c>
      <c r="J122" s="161" t="s">
        <v>358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605</v>
      </c>
      <c r="I123" s="161" t="s">
        <v>416</v>
      </c>
      <c r="J123" s="161" t="s">
        <v>359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606</v>
      </c>
      <c r="I124" s="161" t="s">
        <v>417</v>
      </c>
      <c r="J124" s="161" t="s">
        <v>360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607</v>
      </c>
      <c r="I125" s="161" t="s">
        <v>418</v>
      </c>
      <c r="J125" s="161" t="s">
        <v>361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608</v>
      </c>
      <c r="I126" s="161" t="s">
        <v>419</v>
      </c>
      <c r="J126" s="161" t="s">
        <v>362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609</v>
      </c>
      <c r="I127" s="161" t="s">
        <v>420</v>
      </c>
      <c r="J127" s="161" t="s">
        <v>363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610</v>
      </c>
      <c r="J128" s="161" t="s">
        <v>364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611</v>
      </c>
      <c r="J129" s="161" t="s">
        <v>365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612</v>
      </c>
      <c r="J130" s="161" t="s">
        <v>366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613</v>
      </c>
      <c r="J131" s="161" t="s">
        <v>367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614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615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616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617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618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619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620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621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622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623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624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625</v>
      </c>
      <c r="J143" t="s">
        <v>369</v>
      </c>
      <c r="K143" s="155" t="s">
        <v>374</v>
      </c>
      <c r="L143" t="s">
        <v>378</v>
      </c>
      <c r="M143" t="s">
        <v>385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626</v>
      </c>
      <c r="J144" t="s">
        <v>370</v>
      </c>
      <c r="K144" s="155" t="s">
        <v>375</v>
      </c>
      <c r="L144" t="s">
        <v>379</v>
      </c>
      <c r="M144" t="s">
        <v>386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627</v>
      </c>
      <c r="J145" t="s">
        <v>371</v>
      </c>
      <c r="K145" s="155" t="s">
        <v>377</v>
      </c>
      <c r="L145" t="s">
        <v>380</v>
      </c>
      <c r="M145" t="s">
        <v>387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628</v>
      </c>
      <c r="J146" t="s">
        <v>372</v>
      </c>
      <c r="K146" s="155" t="s">
        <v>377</v>
      </c>
      <c r="L146" t="s">
        <v>381</v>
      </c>
      <c r="M146" t="s">
        <v>388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629</v>
      </c>
      <c r="J147" t="s">
        <v>373</v>
      </c>
      <c r="K147" s="155" t="s">
        <v>376</v>
      </c>
      <c r="L147" t="s">
        <v>382</v>
      </c>
      <c r="M147" t="s">
        <v>389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630</v>
      </c>
      <c r="J148" t="s">
        <v>259</v>
      </c>
      <c r="K148" s="155" t="s">
        <v>260</v>
      </c>
      <c r="L148" t="s">
        <v>383</v>
      </c>
      <c r="M148" t="s">
        <v>390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631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632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633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634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635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636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637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638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639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640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421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422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423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424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425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426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427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428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429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430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431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432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433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434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435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436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437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438</v>
      </c>
      <c r="J176" s="161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439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440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441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442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443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444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445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446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447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448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449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450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451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452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453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454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455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456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457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458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459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460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461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462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463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464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465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466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467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468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469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470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471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472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473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474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475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476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477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478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479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480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481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482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483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484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485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486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487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488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489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490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491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492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493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494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495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496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497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498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499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500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501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502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503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504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505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506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507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508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509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510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511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512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513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514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515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516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517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518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519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520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521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522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523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524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525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526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527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528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529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530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531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532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523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524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525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526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527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528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529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530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531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532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533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534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535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536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537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538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539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540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541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542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543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544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545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546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547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548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549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550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551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552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553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554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555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556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557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558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559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560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561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562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563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564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565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566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567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568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569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570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571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572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573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574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575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576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577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578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579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580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581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582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2023-11-05T23:21:11Z</dcterms:modified>
</cp:coreProperties>
</file>