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yunjin_kim\Desktop\Navarik 등록\5. 드라프트 방\20231030_Shellwona (23S763410-01) SILVER HANNAH_LS FUEL OIL_22KT_ULSAN (N)\"/>
    </mc:Choice>
  </mc:AlternateContent>
  <xr:revisionPtr revIDLastSave="0" documentId="13_ncr:1_{BEAA9C9E-3582-4B43-B265-E36C015B1AB4}" xr6:coauthVersionLast="47" xr6:coauthVersionMax="47" xr10:uidLastSave="{00000000-0000-0000-0000-000000000000}"/>
  <bookViews>
    <workbookView xWindow="28680" yWindow="-120" windowWidth="29040" windowHeight="15840" tabRatio="688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F36" i="1"/>
  <c r="G36" i="1"/>
  <c r="G37" i="1" s="1"/>
  <c r="E36" i="1"/>
  <c r="E37" i="1" s="1"/>
  <c r="D36" i="1"/>
  <c r="D37" i="1" s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24" i="1"/>
  <c r="C36" i="1"/>
  <c r="C37" i="1" s="1"/>
</calcChain>
</file>

<file path=xl/sharedStrings.xml><?xml version="1.0" encoding="utf-8"?>
<sst xmlns="http://schemas.openxmlformats.org/spreadsheetml/2006/main" count="1183" uniqueCount="760">
  <si>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</si>
  <si>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</si>
  <si>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</si>
  <si>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</si>
  <si>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</si>
  <si>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</si>
  <si>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</si>
  <si>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</si>
  <si>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</si>
  <si>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</si>
  <si>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</si>
  <si>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</si>
  <si>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</si>
  <si>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</si>
  <si>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</si>
  <si>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</si>
  <si>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</si>
  <si>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</si>
  <si>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</si>
  <si>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</si>
  <si>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</si>
  <si>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</si>
  <si>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</si>
  <si>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</si>
  <si>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</si>
  <si>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</si>
  <si>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</si>
  <si>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</si>
  <si>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</si>
  <si>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</si>
  <si>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</si>
  <si>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</si>
  <si>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</si>
  <si>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</si>
  <si>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</si>
  <si>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</si>
  <si>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</si>
  <si>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</si>
  <si>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</si>
  <si>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</si>
  <si>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</si>
  <si>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</si>
  <si>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</si>
  <si>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</si>
  <si>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</si>
  <si>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</si>
  <si>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</si>
  <si>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</si>
  <si>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</si>
  <si>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</si>
  <si>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</si>
  <si>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</si>
  <si>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</si>
  <si>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</si>
  <si>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</si>
  <si>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</si>
  <si>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</si>
  <si>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</si>
  <si>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</si>
  <si>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</si>
  <si>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</si>
  <si>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</si>
  <si>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</si>
  <si>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</si>
  <si>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</si>
  <si>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</si>
  <si>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</si>
  <si>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</si>
  <si>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</si>
  <si>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</si>
  <si>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</si>
  <si>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</si>
  <si>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</si>
  <si>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</si>
  <si>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</si>
  <si>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</si>
  <si>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</si>
  <si>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</si>
  <si>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</si>
  <si>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</si>
  <si>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</si>
  <si>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</si>
  <si>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</si>
  <si>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</si>
  <si>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</si>
  <si>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</si>
  <si>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</si>
  <si>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</si>
  <si>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</si>
  <si>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</si>
  <si>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</si>
  <si>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</si>
  <si>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</si>
  <si>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</si>
  <si>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</si>
  <si>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</si>
  <si>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</si>
  <si>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</si>
  <si>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</si>
  <si>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</si>
  <si>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</si>
  <si>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</si>
  <si>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</si>
  <si>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</si>
  <si>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</si>
  <si>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</si>
  <si>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</si>
  <si>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</si>
  <si>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</si>
  <si>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</si>
  <si>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</si>
  <si>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</si>
  <si>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</si>
  <si>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</si>
  <si>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</si>
  <si>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</si>
  <si>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</si>
  <si>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</si>
  <si>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</si>
  <si>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</si>
  <si>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</si>
  <si>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</si>
  <si>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</si>
  <si>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</si>
  <si>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</si>
  <si>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</si>
  <si>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</si>
  <si>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</si>
  <si>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</si>
  <si>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</si>
  <si>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</si>
  <si>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</si>
  <si>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</si>
  <si>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</si>
  <si>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</si>
  <si>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</si>
  <si>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</si>
  <si>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</si>
  <si>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</si>
  <si>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</si>
  <si>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</si>
  <si>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</si>
  <si>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</si>
  <si>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</si>
  <si>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</si>
  <si>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</si>
  <si>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</si>
  <si>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</si>
  <si>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</si>
  <si>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</si>
  <si>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</si>
  <si>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</si>
  <si>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</si>
  <si>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</si>
  <si>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</si>
  <si>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</si>
  <si>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</si>
  <si>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</si>
  <si>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</si>
  <si>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</si>
  <si>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</si>
  <si>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</si>
  <si>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</si>
  <si>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</si>
  <si>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</si>
  <si>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</si>
  <si>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</si>
  <si>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</si>
  <si>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</si>
  <si>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</si>
  <si>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</si>
  <si>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</si>
  <si>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</si>
  <si>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</si>
  <si>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</si>
  <si>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</si>
  <si>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</si>
  <si>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</si>
  <si>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</si>
  <si>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</si>
  <si>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</si>
  <si>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</si>
  <si>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</si>
  <si>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</si>
  <si>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</si>
  <si>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</si>
  <si>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</si>
  <si>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</si>
  <si>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</si>
  <si>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</si>
  <si>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</si>
  <si>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</si>
  <si>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</si>
  <si>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</si>
  <si>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</si>
  <si>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</si>
  <si>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</si>
  <si>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</si>
  <si>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</si>
  <si>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</si>
  <si>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</si>
  <si>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</si>
  <si>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</si>
  <si>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</si>
  <si>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</si>
  <si>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</si>
  <si>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</si>
  <si>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</si>
  <si>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</si>
  <si>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</si>
  <si>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</si>
  <si>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</si>
  <si>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</si>
  <si>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</si>
  <si>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</si>
  <si>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</si>
  <si>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</si>
  <si>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</si>
  <si>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</si>
  <si>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</si>
  <si>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</si>
  <si>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</si>
  <si>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</si>
  <si>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</si>
  <si>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</si>
  <si>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</si>
  <si>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</si>
  <si>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</si>
  <si>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</si>
  <si>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</si>
  <si>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</si>
  <si>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</si>
  <si>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</si>
  <si>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</si>
  <si>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</si>
  <si>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</si>
  <si>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</si>
  <si>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</si>
  <si>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</si>
  <si>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</si>
  <si>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</si>
  <si>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</si>
  <si>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</si>
  <si>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</si>
  <si>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</si>
  <si>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</si>
  <si>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</si>
  <si>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</si>
  <si>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</si>
  <si>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</si>
  <si>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</si>
  <si>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</si>
  <si>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</si>
  <si>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</si>
  <si>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</si>
  <si>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</si>
  <si>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</si>
  <si>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</si>
  <si>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</si>
  <si>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</si>
  <si>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</si>
  <si>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</si>
  <si>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</si>
  <si>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</si>
  <si>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</si>
  <si>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</si>
  <si>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</si>
  <si>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</si>
  <si>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</si>
  <si>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</si>
  <si>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</si>
  <si>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</si>
  <si>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</si>
  <si>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</si>
  <si>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</si>
  <si>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</si>
  <si>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</si>
  <si>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</si>
  <si>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</si>
  <si>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</si>
  <si>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</si>
  <si>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</si>
  <si>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</si>
  <si>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</si>
  <si>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</si>
  <si>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</si>
  <si>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</si>
  <si>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</si>
  <si>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</si>
  <si>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</si>
  <si>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</si>
  <si>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</si>
  <si>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</si>
  <si>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</si>
  <si>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</si>
  <si>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</si>
  <si>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</si>
  <si>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</si>
  <si>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</si>
  <si>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</si>
  <si>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</si>
  <si>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</si>
  <si>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</si>
  <si>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</si>
  <si>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</si>
  <si>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</si>
  <si>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</si>
  <si>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</si>
  <si>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</si>
  <si>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</si>
  <si>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</si>
  <si>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</si>
  <si>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</si>
  <si>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</si>
  <si>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</si>
  <si>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</si>
  <si>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</si>
  <si>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</si>
  <si>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</si>
  <si>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</si>
  <si>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</si>
  <si>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</si>
  <si>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</si>
  <si>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</si>
  <si>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</si>
  <si>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</si>
  <si>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</si>
  <si>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</si>
  <si>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</si>
  <si>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</si>
  <si>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</si>
  <si>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</si>
  <si>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</si>
  <si>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</si>
  <si>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</si>
  <si>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</si>
  <si>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</si>
  <si>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</si>
  <si>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</si>
  <si>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</si>
  <si>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</si>
  <si>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</si>
  <si>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</si>
  <si>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</si>
  <si>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</si>
  <si>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</si>
  <si>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</si>
  <si>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</si>
  <si>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</si>
  <si>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</si>
  <si>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</si>
  <si>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</si>
  <si>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</si>
  <si>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</si>
  <si>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</si>
  <si>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</si>
  <si>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</si>
  <si>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</si>
  <si>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</si>
  <si>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</si>
  <si>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</si>
  <si>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</si>
  <si>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</si>
  <si>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</si>
  <si>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</si>
  <si>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</si>
  <si>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</si>
  <si>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</si>
  <si>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</si>
  <si>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</si>
  <si>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</si>
  <si>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</si>
  <si>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</si>
  <si>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</si>
  <si>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</si>
  <si>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</si>
  <si>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</si>
  <si>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</si>
  <si>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</si>
  <si>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</si>
  <si>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</si>
  <si>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</si>
  <si>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</si>
  <si>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</si>
  <si>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</si>
  <si>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</si>
  <si>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</si>
  <si>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</si>
  <si>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</si>
  <si>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</si>
  <si>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</si>
  <si>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</si>
  <si>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</si>
  <si>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</si>
  <si>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</si>
  <si>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</si>
  <si>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</si>
  <si>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</si>
  <si>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</si>
  <si>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</si>
  <si>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</si>
  <si>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</si>
  <si>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</si>
  <si>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</si>
  <si>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</si>
  <si>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</si>
  <si>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</si>
  <si>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</si>
  <si>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</si>
  <si>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</si>
  <si>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</si>
  <si>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</si>
  <si>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</si>
  <si>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</si>
  <si>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</si>
  <si>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</si>
  <si>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</si>
  <si>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</si>
  <si>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</si>
  <si>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</si>
  <si>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</si>
  <si>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</si>
  <si>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</si>
  <si>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</si>
  <si>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</si>
  <si>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</si>
  <si>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</si>
  <si>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</si>
  <si>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</si>
  <si>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</si>
  <si>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</si>
  <si>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</si>
  <si>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</si>
  <si>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</si>
  <si>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</si>
  <si>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</si>
  <si>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</si>
  <si>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</si>
  <si>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</si>
  <si>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</si>
  <si>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</si>
  <si>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</si>
  <si>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</si>
  <si>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</si>
  <si>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</si>
  <si>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</si>
  <si>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</si>
  <si>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</si>
  <si>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</si>
  <si>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</si>
  <si>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</si>
  <si>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</si>
  <si>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</si>
  <si>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</si>
  <si>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</si>
  <si>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</si>
  <si>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</si>
  <si>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</si>
  <si>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</si>
  <si>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</si>
  <si>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</si>
  <si>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</si>
  <si>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</si>
  <si>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</si>
  <si>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</si>
  <si>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</si>
  <si>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</si>
  <si>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</si>
  <si>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</si>
  <si>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</si>
  <si>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</si>
  <si>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</si>
  <si>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</si>
  <si>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</si>
  <si>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</si>
  <si>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</si>
  <si>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</si>
  <si>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</si>
  <si>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</si>
  <si>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</si>
  <si>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</si>
  <si>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</si>
  <si>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</si>
  <si>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</si>
  <si>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</si>
  <si>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</si>
  <si>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</si>
  <si>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</si>
  <si>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</si>
  <si>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</si>
  <si>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</si>
  <si>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</si>
  <si>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</si>
  <si>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</si>
  <si>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</si>
  <si>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</si>
  <si>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</si>
  <si>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</si>
  <si>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</si>
  <si>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</si>
  <si>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</si>
  <si>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</si>
  <si>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</si>
  <si>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</si>
  <si>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</si>
  <si>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</si>
  <si>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</si>
  <si>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</si>
  <si>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</si>
  <si>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</si>
  <si>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</si>
  <si>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</si>
  <si>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</si>
  <si>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</si>
  <si>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</si>
  <si>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</si>
  <si>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</si>
  <si>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</si>
  <si>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</si>
  <si>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</si>
  <si>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</si>
  <si>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</si>
  <si>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</si>
  <si>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</si>
  <si>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</si>
  <si>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</si>
  <si>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</si>
  <si>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</si>
  <si>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</si>
  <si>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</si>
  <si>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</si>
  <si>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</si>
  <si>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</si>
  <si>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</si>
  <si>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</si>
  <si>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</si>
  <si>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</si>
  <si>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</si>
  <si>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</si>
  <si>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</si>
  <si>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</si>
  <si>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</si>
  <si>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</si>
  <si>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</si>
  <si>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</si>
  <si>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</si>
  <si>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</si>
  <si>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</si>
  <si>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</si>
  <si>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</si>
  <si>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</si>
  <si>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</si>
  <si>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</si>
  <si>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</si>
  <si>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</si>
  <si>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</si>
  <si>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</si>
  <si>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</si>
  <si>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</si>
  <si>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</si>
  <si>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</si>
  <si>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</si>
  <si>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</si>
  <si>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</si>
  <si>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</si>
  <si>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</si>
  <si>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</si>
  <si>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</si>
  <si>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</si>
  <si>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</si>
  <si>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</si>
  <si>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</si>
  <si>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</si>
  <si>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</si>
  <si>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</si>
  <si>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</si>
  <si>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</si>
  <si>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</si>
  <si>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</si>
  <si>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</si>
  <si>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</si>
  <si>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</si>
  <si>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</si>
  <si>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</si>
  <si>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</si>
  <si>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</si>
  <si>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</si>
  <si>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</si>
  <si>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</si>
  <si>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</si>
  <si>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</si>
  <si>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</si>
  <si>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</si>
  <si>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</si>
  <si>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</si>
  <si>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</si>
  <si>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</si>
  <si>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</si>
  <si>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</si>
  <si>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</si>
  <si>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</si>
  <si>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</si>
  <si>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</si>
  <si>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</si>
  <si>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</si>
  <si>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</si>
  <si>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</si>
  <si>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</si>
  <si>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</si>
  <si>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</si>
  <si>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</si>
  <si>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</si>
  <si>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</si>
  <si>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</si>
  <si>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</si>
  <si>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</si>
  <si>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</si>
  <si>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</si>
  <si>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</si>
  <si>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</si>
  <si>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</si>
  <si>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</si>
  <si>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</si>
  <si>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</si>
  <si>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</si>
  <si>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</si>
  <si>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</si>
  <si>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</si>
  <si>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</si>
  <si>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</si>
  <si>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</si>
  <si>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</si>
  <si>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</si>
  <si>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</si>
  <si>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</si>
  <si>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</si>
  <si>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</si>
  <si>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</si>
  <si>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</si>
  <si>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</si>
  <si>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</si>
  <si>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</si>
  <si>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</si>
  <si>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</si>
  <si>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</si>
  <si>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</si>
  <si>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</si>
  <si>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</si>
  <si>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</si>
  <si>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</si>
  <si>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</si>
  <si>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</si>
  <si>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</si>
  <si>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</si>
  <si>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</si>
  <si>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</si>
  <si>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</si>
  <si>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</si>
  <si>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</si>
  <si>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</si>
  <si>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</si>
  <si>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</si>
  <si>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</si>
  <si>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</si>
  <si>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</si>
  <si>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</si>
  <si>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</si>
  <si>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</si>
  <si>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</si>
  <si>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</si>
  <si>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</si>
  <si>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</si>
  <si>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</si>
  <si>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</si>
  <si>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</si>
  <si>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</si>
  <si>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</si>
  <si>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</si>
  <si>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</si>
  <si>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</si>
  <si>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</si>
  <si>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</si>
  <si>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</si>
  <si>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</si>
  <si>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</si>
  <si>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</si>
  <si>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</si>
  <si>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</si>
  <si>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</si>
  <si>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</si>
  <si>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</si>
  <si>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</si>
  <si>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</si>
  <si>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</si>
  <si>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</si>
  <si>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울산</t>
    <phoneticPr fontId="1" type="noConversion"/>
  </si>
  <si>
    <t>SHELLWONA</t>
  </si>
  <si>
    <t>23S763410-01</t>
    <phoneticPr fontId="1" type="noConversion"/>
  </si>
  <si>
    <t>SILVER HANNAH</t>
    <phoneticPr fontId="1" type="noConversion"/>
  </si>
  <si>
    <t>LS FUEL OIL (FLS)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</si>
  <si>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</si>
  <si>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</si>
  <si>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</si>
  <si>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</si>
  <si>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</si>
  <si>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</si>
  <si>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</si>
  <si>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LS FUEL OIL (FLS) - 22 Kilo Metric Tonnes (1000 x MT)</t>
  </si>
  <si>
    <t>*</t>
  </si>
  <si>
    <t>Sulfur by EDXRF Method</t>
  </si>
  <si>
    <t>Kinematic Viscosity @ 50°C (122°F)</t>
  </si>
  <si>
    <t>Carbon Residue by Micro Method</t>
  </si>
  <si>
    <t>Ash Content</t>
  </si>
  <si>
    <t>Pensky Martens Closed Cup Flash Point Method</t>
  </si>
  <si>
    <t>Pour Point, Manual</t>
  </si>
  <si>
    <t>API Gravity, Density and Relative Density of liquids by Densitometer @15 C (59 F)</t>
  </si>
  <si>
    <t>Aluminum and Silicon in Fuel Oils</t>
  </si>
  <si>
    <t>Total Sediment Potential - Procedure A</t>
  </si>
  <si>
    <t>max = 1.0 (buy)</t>
  </si>
  <si>
    <t>max = 300 (buy)</t>
  </si>
  <si>
    <t>max = 15 (buy)</t>
  </si>
  <si>
    <t>max = 0.15 (buy)</t>
  </si>
  <si>
    <t>min = 60 (buy)</t>
  </si>
  <si>
    <t>max = 20 (buy)</t>
  </si>
  <si>
    <t>max = 1.072 (buy)</t>
  </si>
  <si>
    <t>max = 150 (buy)</t>
  </si>
  <si>
    <t>max = 0.1 (buy)</t>
  </si>
  <si>
    <t>%m/m</t>
  </si>
  <si>
    <t>mm²/s</t>
  </si>
  <si>
    <t>%wt</t>
  </si>
  <si>
    <t>°C</t>
  </si>
  <si>
    <t>g/cm³</t>
  </si>
  <si>
    <t>mg/kg</t>
  </si>
  <si>
    <t>TK-9005</t>
    <phoneticPr fontId="1" type="noConversion"/>
  </si>
  <si>
    <t>[ASTM] D4294</t>
  </si>
  <si>
    <t>[ASTM] D445</t>
  </si>
  <si>
    <t>[ASTM] D4530</t>
  </si>
  <si>
    <t>[ASTM] D482</t>
  </si>
  <si>
    <t>[ASTM] D93</t>
  </si>
  <si>
    <t>[ASTM] D97</t>
  </si>
  <si>
    <t>[ASTM] D1298</t>
  </si>
  <si>
    <t>[ASTM] D4870</t>
  </si>
  <si>
    <t>[ASTM] D5184</t>
  </si>
  <si>
    <t>12.20</t>
    <phoneticPr fontId="1" type="noConversion"/>
  </si>
  <si>
    <t>83.0</t>
    <phoneticPr fontId="1" type="noConversion"/>
  </si>
  <si>
    <t>39.64</t>
    <phoneticPr fontId="1" type="noConversion"/>
  </si>
  <si>
    <t>0.69</t>
    <phoneticPr fontId="1" type="noConversion"/>
  </si>
  <si>
    <t>133.0</t>
    <phoneticPr fontId="1" type="noConversion"/>
  </si>
  <si>
    <t>-27.0</t>
    <phoneticPr fontId="1" type="noConversion"/>
  </si>
  <si>
    <t>0.028</t>
    <phoneticPr fontId="1" type="noConversion"/>
  </si>
  <si>
    <t>1.0545</t>
    <phoneticPr fontId="1" type="noConversion"/>
  </si>
  <si>
    <t>6B</t>
  </si>
  <si>
    <t>Tyler Gong</t>
    <phoneticPr fontId="1" type="noConversion"/>
  </si>
  <si>
    <t>S-OIL No. E-1</t>
    <phoneticPr fontId="1" type="noConversion"/>
  </si>
  <si>
    <t>Malaysia</t>
    <phoneticPr fontId="1" type="noConversion"/>
  </si>
  <si>
    <t>UL23-616129</t>
    <phoneticPr fontId="1" type="noConversion"/>
  </si>
  <si>
    <t>Shore Tank Gauge</t>
  </si>
  <si>
    <t>Awaited loading due to shore readiness</t>
    <phoneticPr fontId="1" type="noConversion"/>
  </si>
  <si>
    <t xml:space="preserve">Supplier's laycan date: 28th - 30th Oct. 2023.
</t>
    <phoneticPr fontId="1" type="noConversion"/>
  </si>
  <si>
    <t>0.04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</si>
</sst>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표준" xfId="0" builtinId="0"/>
    <cellStyle name="하이퍼링크" xfId="1" builtinId="8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22860</xdr:rowOff>
        </xdr:from>
        <xdr:to>
          <xdr:col>1</xdr:col>
          <xdr:colOff>1325880</xdr:colOff>
          <xdr:row>9</xdr:row>
          <xdr:rowOff>182880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182880</xdr:rowOff>
        </xdr:from>
        <xdr:to>
          <xdr:col>1</xdr:col>
          <xdr:colOff>1318260</xdr:colOff>
          <xdr:row>11</xdr:row>
          <xdr:rowOff>22860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7620</xdr:rowOff>
        </xdr:from>
        <xdr:to>
          <xdr:col>1</xdr:col>
          <xdr:colOff>1318260</xdr:colOff>
          <xdr:row>11</xdr:row>
          <xdr:rowOff>175260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22860</xdr:rowOff>
        </xdr:from>
        <xdr:to>
          <xdr:col>2</xdr:col>
          <xdr:colOff>845820</xdr:colOff>
          <xdr:row>13</xdr:row>
          <xdr:rowOff>182880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426720</xdr:rowOff>
        </xdr:from>
        <xdr:to>
          <xdr:col>2</xdr:col>
          <xdr:colOff>1493520</xdr:colOff>
          <xdr:row>13</xdr:row>
          <xdr:rowOff>182880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91440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541020</xdr:colOff>
          <xdr:row>89</xdr:row>
          <xdr:rowOff>160020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abSelected="1" topLeftCell="A2" zoomScaleNormal="100" workbookViewId="0">
      <selection activeCell="C23" sqref="C23"/>
    </sheetView>
  </sheetViews>
  <sheetFormatPr defaultColWidth="8.69921875" defaultRowHeight="18" customHeight="1"/>
  <cols>
    <col min="1" max="1" width="2.8984375" style="99" customWidth="1"/>
    <col min="2" max="2" width="20.59765625" style="99" customWidth="1"/>
    <col min="3" max="3" width="31.69921875" style="99" customWidth="1"/>
    <col min="4" max="5" width="2.59765625" style="109" customWidth="1"/>
    <col min="6" max="11" width="10.69921875" style="109" customWidth="1"/>
    <col min="12" max="19" width="8.69921875" style="109"/>
    <col min="20" max="16384" width="8.699218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695</v>
      </c>
      <c r="E5" s="235" t="s">
        <v>647</v>
      </c>
      <c r="F5" s="247" t="s">
        <v>676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울산</v>
      </c>
      <c r="C6" s="158" t="str">
        <f>IF(C5="","담당자 이름을 입력 또는 선택합니다.",VLOOKUP(C5,Sheet3!$I$1:$L$91,2,))</f>
        <v>kr_ogculsan@sgs.com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kr_ogculsan@sgs.com;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673</v>
      </c>
      <c r="C9" s="232" t="s">
        <v>674</v>
      </c>
      <c r="E9" s="240" t="s">
        <v>677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680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679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681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5" customHeight="1" thickBot="1">
      <c r="B13" s="230" t="s">
        <v>675</v>
      </c>
      <c r="E13" s="241" t="s">
        <v>678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672</v>
      </c>
      <c r="C14" s="223"/>
      <c r="E14" s="235" t="s">
        <v>647</v>
      </c>
      <c r="F14" s="247" t="s">
        <v>682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670</v>
      </c>
      <c r="C15" s="202"/>
      <c r="E15" s="235" t="s">
        <v>647</v>
      </c>
      <c r="F15" s="247" t="s">
        <v>683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671</v>
      </c>
      <c r="C16" s="178"/>
      <c r="E16" s="235" t="s">
        <v>647</v>
      </c>
      <c r="F16" s="247" t="s">
        <v>684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696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697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699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Kr_ogculsan@sgs.com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Password_00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45230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45046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45322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669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668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22860</xdr:rowOff>
                  </from>
                  <to>
                    <xdr:col>1</xdr:col>
                    <xdr:colOff>1325880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182880</xdr:rowOff>
                  </from>
                  <to>
                    <xdr:col>1</xdr:col>
                    <xdr:colOff>1318260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22860</xdr:colOff>
                    <xdr:row>11</xdr:row>
                    <xdr:rowOff>7620</xdr:rowOff>
                  </from>
                  <to>
                    <xdr:col>1</xdr:col>
                    <xdr:colOff>1318260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137160</xdr:colOff>
                    <xdr:row>13</xdr:row>
                    <xdr:rowOff>22860</xdr:rowOff>
                  </from>
                  <to>
                    <xdr:col>2</xdr:col>
                    <xdr:colOff>845820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426720</xdr:rowOff>
                  </from>
                  <to>
                    <xdr:col>2</xdr:col>
                    <xdr:colOff>1493520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 activeCell="E34" sqref="E34"/>
    </sheetView>
  </sheetViews>
  <sheetFormatPr defaultColWidth="8.69921875" defaultRowHeight="13.95" customHeight="1"/>
  <cols>
    <col min="1" max="1" width="3.3984375" style="86" customWidth="1"/>
    <col min="2" max="2" width="2.19921875" style="2" customWidth="1"/>
    <col min="3" max="3" width="29.19921875" style="2" customWidth="1"/>
    <col min="4" max="4" width="47.69921875" style="2" customWidth="1"/>
    <col min="5" max="5" width="13.19921875" style="1" customWidth="1"/>
    <col min="6" max="6" width="9.09765625" style="1" customWidth="1"/>
    <col min="7" max="7" width="16.19921875" style="1" customWidth="1"/>
    <col min="8" max="8" width="12.5" style="1" customWidth="1"/>
    <col min="9" max="9" width="3.3984375" style="1" customWidth="1"/>
    <col min="10" max="10" width="3.5" style="1" customWidth="1"/>
    <col min="11" max="11" width="58.09765625" style="1" customWidth="1"/>
    <col min="12" max="12" width="13.19921875" style="1" customWidth="1"/>
    <col min="13" max="13" width="9.09765625" style="1" customWidth="1"/>
    <col min="14" max="14" width="13.19921875" style="1" customWidth="1"/>
    <col min="15" max="15" width="9.09765625" style="1" customWidth="1"/>
    <col min="16" max="16" width="3.8984375" style="1" customWidth="1"/>
    <col min="17" max="26" width="8.69921875" style="1"/>
    <col min="27" max="27" width="0" style="1" hidden="1" customWidth="1"/>
    <col min="28" max="39" width="8.69921875" style="1"/>
    <col min="40" max="41" width="8.69921875" style="1" customWidth="1"/>
    <col min="42" max="42" width="8.69921875" style="1"/>
    <col min="43" max="43" width="8.69921875" style="1" customWidth="1"/>
    <col min="44" max="16384" width="8.69921875" style="1"/>
  </cols>
  <sheetData>
    <row r="1" spans="1:36" ht="13.95" customHeight="1">
      <c r="A1" s="84"/>
      <c r="B1" s="268" t="s">
        <v>241</v>
      </c>
      <c r="C1" s="268"/>
      <c r="D1" s="3"/>
      <c r="E1" s="4"/>
      <c r="F1" s="271"/>
      <c r="G1" s="271"/>
      <c r="H1" s="271"/>
      <c r="I1" s="4"/>
      <c r="J1" s="267" t="s">
        <v>13</v>
      </c>
      <c r="K1" s="267"/>
      <c r="L1" s="4"/>
      <c r="M1" s="4"/>
      <c r="N1" s="4"/>
      <c r="O1" s="4"/>
      <c r="P1" s="4"/>
    </row>
    <row r="2" spans="1:36" ht="13.95" customHeight="1">
      <c r="A2" s="84"/>
      <c r="B2" s="269"/>
      <c r="C2" s="269"/>
      <c r="D2" s="5"/>
      <c r="E2" s="6"/>
      <c r="F2" s="272"/>
      <c r="G2" s="272"/>
      <c r="H2" s="272"/>
      <c r="I2" s="4"/>
      <c r="J2" s="270"/>
      <c r="K2" s="270"/>
      <c r="L2" s="273" t="s">
        <v>328</v>
      </c>
      <c r="M2" s="255"/>
      <c r="N2" s="255" t="s">
        <v>329</v>
      </c>
      <c r="O2" s="256"/>
      <c r="P2" s="4"/>
    </row>
    <row r="3" spans="1:36" ht="13.95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5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5" customHeight="1">
      <c r="A5" s="85">
        <v>1</v>
      </c>
      <c r="B5" s="129"/>
      <c r="C5" s="130" t="s">
        <v>458</v>
      </c>
      <c r="D5" s="62"/>
      <c r="E5" s="101">
        <v>45229</v>
      </c>
      <c r="F5" s="64">
        <v>1448</v>
      </c>
      <c r="G5" s="65"/>
      <c r="H5" s="215" t="str">
        <f t="shared" ref="H5:H36" si="0">IF(OR(B5="*",C5=""),"",IF(OR(E5="",F5=""),"-",""))</f>
        <v/>
      </c>
      <c r="I5" s="4"/>
      <c r="J5" s="87">
        <v>1</v>
      </c>
      <c r="K5" s="78" t="s">
        <v>757</v>
      </c>
      <c r="L5" s="101">
        <v>45229</v>
      </c>
      <c r="M5" s="64">
        <v>1900</v>
      </c>
      <c r="N5" s="101">
        <v>45229</v>
      </c>
      <c r="O5" s="64">
        <v>2048</v>
      </c>
      <c r="P5" s="4"/>
      <c r="AA5" s="108">
        <f t="shared" ref="AA5:AA36" si="1">IF(B5="",0,1)</f>
        <v>0</v>
      </c>
    </row>
    <row r="6" spans="1:36" ht="13.95" customHeight="1">
      <c r="A6" s="85">
        <v>2</v>
      </c>
      <c r="B6" s="129" t="s">
        <v>708</v>
      </c>
      <c r="C6" s="130" t="s">
        <v>526</v>
      </c>
      <c r="D6" s="62"/>
      <c r="E6" s="101">
        <v>45229</v>
      </c>
      <c r="F6" s="64">
        <v>1448</v>
      </c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5" customHeight="1">
      <c r="A7" s="85">
        <v>3</v>
      </c>
      <c r="B7" s="129"/>
      <c r="C7" s="130" t="s">
        <v>700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5" customHeight="1">
      <c r="A8" s="85">
        <v>4</v>
      </c>
      <c r="B8" s="129"/>
      <c r="C8" s="130" t="s">
        <v>530</v>
      </c>
      <c r="D8" s="62"/>
      <c r="E8" s="101">
        <v>45229</v>
      </c>
      <c r="F8" s="64">
        <v>1448</v>
      </c>
      <c r="G8" s="65"/>
      <c r="H8" s="215" t="str">
        <f t="shared" si="0"/>
        <v/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5" customHeight="1">
      <c r="A9" s="85">
        <v>5</v>
      </c>
      <c r="B9" s="129"/>
      <c r="C9" s="130" t="s">
        <v>701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5" customHeight="1">
      <c r="A10" s="85">
        <v>6</v>
      </c>
      <c r="B10" s="129"/>
      <c r="C10" s="130" t="s">
        <v>497</v>
      </c>
      <c r="D10" s="62"/>
      <c r="E10" s="101">
        <v>45229</v>
      </c>
      <c r="F10" s="64">
        <v>1545</v>
      </c>
      <c r="G10" s="65"/>
      <c r="H10" s="215" t="str">
        <f t="shared" si="0"/>
        <v/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5" customHeight="1">
      <c r="A11" s="85">
        <v>7</v>
      </c>
      <c r="B11" s="129" t="s">
        <v>708</v>
      </c>
      <c r="C11" s="130" t="s">
        <v>702</v>
      </c>
      <c r="D11" s="62"/>
      <c r="E11" s="101">
        <v>45229</v>
      </c>
      <c r="F11" s="64">
        <v>1612</v>
      </c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5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5" customHeight="1">
      <c r="A13" s="85">
        <v>9</v>
      </c>
      <c r="B13" s="129"/>
      <c r="C13" s="130" t="s">
        <v>511</v>
      </c>
      <c r="D13" s="62"/>
      <c r="E13" s="101">
        <v>45229</v>
      </c>
      <c r="F13" s="64">
        <v>1624</v>
      </c>
      <c r="G13" s="65"/>
      <c r="H13" s="215" t="str">
        <f t="shared" si="0"/>
        <v/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5" customHeight="1">
      <c r="A14" s="85">
        <v>10</v>
      </c>
      <c r="B14" s="129"/>
      <c r="C14" s="130" t="s">
        <v>703</v>
      </c>
      <c r="D14" s="62"/>
      <c r="E14" s="101">
        <v>45229</v>
      </c>
      <c r="F14" s="64">
        <v>1642</v>
      </c>
      <c r="G14" s="65"/>
      <c r="H14" s="215" t="str">
        <f t="shared" si="0"/>
        <v/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5" customHeight="1">
      <c r="A15" s="85">
        <v>11</v>
      </c>
      <c r="B15" s="129"/>
      <c r="C15" s="130" t="s">
        <v>481</v>
      </c>
      <c r="D15" s="62"/>
      <c r="E15" s="101">
        <v>45229</v>
      </c>
      <c r="F15" s="64">
        <v>1724</v>
      </c>
      <c r="G15" s="65"/>
      <c r="H15" s="215" t="str">
        <f t="shared" si="0"/>
        <v/>
      </c>
      <c r="I15" s="4"/>
      <c r="J15" s="266" t="s">
        <v>369</v>
      </c>
      <c r="K15" s="266"/>
      <c r="L15" s="4"/>
      <c r="M15" s="4"/>
      <c r="N15" s="4"/>
      <c r="O15" s="4"/>
      <c r="P15" s="4"/>
      <c r="AA15" s="108">
        <f t="shared" si="1"/>
        <v>0</v>
      </c>
    </row>
    <row r="16" spans="1:36" ht="13.95" customHeight="1">
      <c r="A16" s="85">
        <v>12</v>
      </c>
      <c r="B16" s="129" t="s">
        <v>708</v>
      </c>
      <c r="C16" s="130" t="s">
        <v>503</v>
      </c>
      <c r="D16" s="62"/>
      <c r="E16" s="101">
        <v>45229</v>
      </c>
      <c r="F16" s="64">
        <v>2036</v>
      </c>
      <c r="G16" s="65"/>
      <c r="H16" s="215" t="str">
        <f t="shared" si="0"/>
        <v/>
      </c>
      <c r="I16" s="4"/>
      <c r="J16" s="267"/>
      <c r="K16" s="267"/>
      <c r="L16" s="4"/>
      <c r="M16" s="4"/>
      <c r="N16" s="4"/>
      <c r="O16" s="4"/>
      <c r="P16" s="4"/>
      <c r="AA16" s="108">
        <f t="shared" si="1"/>
        <v>1</v>
      </c>
    </row>
    <row r="17" spans="1:27" ht="13.95" customHeight="1">
      <c r="A17" s="85">
        <v>13</v>
      </c>
      <c r="B17" s="129" t="s">
        <v>708</v>
      </c>
      <c r="C17" s="130" t="s">
        <v>704</v>
      </c>
      <c r="D17" s="62" t="s">
        <v>707</v>
      </c>
      <c r="E17" s="101">
        <v>45229</v>
      </c>
      <c r="F17" s="64">
        <v>2048</v>
      </c>
      <c r="G17" s="65"/>
      <c r="H17" s="215" t="str">
        <f t="shared" si="0"/>
        <v/>
      </c>
      <c r="I17" s="4"/>
      <c r="J17" s="257" t="s">
        <v>758</v>
      </c>
      <c r="K17" s="258"/>
      <c r="L17" s="258"/>
      <c r="M17" s="258"/>
      <c r="N17" s="258"/>
      <c r="O17" s="259"/>
      <c r="P17" s="4"/>
      <c r="AA17" s="108">
        <f t="shared" si="1"/>
        <v>1</v>
      </c>
    </row>
    <row r="18" spans="1:27" ht="13.95" customHeight="1">
      <c r="A18" s="85">
        <v>14</v>
      </c>
      <c r="B18" s="129"/>
      <c r="C18" s="130" t="s">
        <v>705</v>
      </c>
      <c r="D18" s="62"/>
      <c r="E18" s="101"/>
      <c r="F18" s="64"/>
      <c r="G18" s="65"/>
      <c r="H18" s="215" t="str">
        <f t="shared" si="0"/>
        <v>-</v>
      </c>
      <c r="I18" s="4"/>
      <c r="J18" s="260"/>
      <c r="K18" s="261"/>
      <c r="L18" s="261"/>
      <c r="M18" s="261"/>
      <c r="N18" s="261"/>
      <c r="O18" s="262"/>
      <c r="P18" s="4"/>
      <c r="AA18" s="108">
        <f t="shared" si="1"/>
        <v>0</v>
      </c>
    </row>
    <row r="19" spans="1:27" ht="13.95" customHeight="1">
      <c r="A19" s="85">
        <v>15</v>
      </c>
      <c r="B19" s="129"/>
      <c r="C19" s="130" t="s">
        <v>468</v>
      </c>
      <c r="D19" s="62"/>
      <c r="E19" s="101"/>
      <c r="F19" s="64"/>
      <c r="G19" s="65"/>
      <c r="H19" s="215" t="str">
        <f t="shared" si="0"/>
        <v>-</v>
      </c>
      <c r="I19" s="4"/>
      <c r="J19" s="260"/>
      <c r="K19" s="261"/>
      <c r="L19" s="261"/>
      <c r="M19" s="261"/>
      <c r="N19" s="261"/>
      <c r="O19" s="262"/>
      <c r="P19" s="4"/>
      <c r="AA19" s="108">
        <f t="shared" si="1"/>
        <v>0</v>
      </c>
    </row>
    <row r="20" spans="1:27" ht="13.95" customHeight="1">
      <c r="A20" s="85">
        <v>16</v>
      </c>
      <c r="B20" s="129" t="s">
        <v>708</v>
      </c>
      <c r="C20" s="130" t="s">
        <v>480</v>
      </c>
      <c r="D20" s="62" t="s">
        <v>707</v>
      </c>
      <c r="E20" s="101">
        <v>45230</v>
      </c>
      <c r="F20" s="64">
        <v>1218</v>
      </c>
      <c r="G20" s="65"/>
      <c r="H20" s="215" t="str">
        <f t="shared" si="0"/>
        <v/>
      </c>
      <c r="I20" s="4"/>
      <c r="J20" s="260"/>
      <c r="K20" s="261"/>
      <c r="L20" s="261"/>
      <c r="M20" s="261"/>
      <c r="N20" s="261"/>
      <c r="O20" s="262"/>
      <c r="P20" s="4"/>
      <c r="AA20" s="108">
        <f t="shared" si="1"/>
        <v>1</v>
      </c>
    </row>
    <row r="21" spans="1:27" ht="13.95" customHeight="1">
      <c r="A21" s="85">
        <v>17</v>
      </c>
      <c r="B21" s="129"/>
      <c r="C21" s="130" t="s">
        <v>706</v>
      </c>
      <c r="D21" s="62"/>
      <c r="E21" s="101">
        <v>45230</v>
      </c>
      <c r="F21" s="64">
        <v>1218</v>
      </c>
      <c r="G21" s="65"/>
      <c r="H21" s="215" t="str">
        <f t="shared" si="0"/>
        <v/>
      </c>
      <c r="I21" s="4"/>
      <c r="J21" s="260"/>
      <c r="K21" s="261"/>
      <c r="L21" s="261"/>
      <c r="M21" s="261"/>
      <c r="N21" s="261"/>
      <c r="O21" s="262"/>
      <c r="P21" s="4"/>
      <c r="AA21" s="108">
        <f t="shared" si="1"/>
        <v>0</v>
      </c>
    </row>
    <row r="22" spans="1:27" ht="13.95" customHeight="1">
      <c r="A22" s="85">
        <v>18</v>
      </c>
      <c r="B22" s="129" t="s">
        <v>708</v>
      </c>
      <c r="C22" s="130" t="s">
        <v>504</v>
      </c>
      <c r="D22" s="63"/>
      <c r="E22" s="101">
        <v>45230</v>
      </c>
      <c r="F22" s="64">
        <v>1242</v>
      </c>
      <c r="G22" s="65"/>
      <c r="H22" s="215" t="str">
        <f t="shared" si="0"/>
        <v/>
      </c>
      <c r="I22" s="4"/>
      <c r="J22" s="260"/>
      <c r="K22" s="261"/>
      <c r="L22" s="261"/>
      <c r="M22" s="261"/>
      <c r="N22" s="261"/>
      <c r="O22" s="262"/>
      <c r="P22" s="4"/>
      <c r="AA22" s="108">
        <f t="shared" si="1"/>
        <v>1</v>
      </c>
    </row>
    <row r="23" spans="1:27" ht="13.95" customHeight="1">
      <c r="A23" s="85">
        <v>19</v>
      </c>
      <c r="B23" s="129"/>
      <c r="C23" s="130" t="s">
        <v>476</v>
      </c>
      <c r="D23" s="62"/>
      <c r="E23" s="101">
        <v>45230</v>
      </c>
      <c r="F23" s="64">
        <v>1430</v>
      </c>
      <c r="G23" s="65"/>
      <c r="H23" s="215" t="str">
        <f t="shared" si="0"/>
        <v/>
      </c>
      <c r="I23" s="4"/>
      <c r="J23" s="260"/>
      <c r="K23" s="261"/>
      <c r="L23" s="261"/>
      <c r="M23" s="261"/>
      <c r="N23" s="261"/>
      <c r="O23" s="262"/>
      <c r="P23" s="4"/>
      <c r="AA23" s="108">
        <f t="shared" si="1"/>
        <v>0</v>
      </c>
    </row>
    <row r="24" spans="1:27" ht="13.95" customHeight="1">
      <c r="A24" s="85">
        <v>20</v>
      </c>
      <c r="B24" s="129"/>
      <c r="C24" s="130" t="s">
        <v>467</v>
      </c>
      <c r="D24" s="62"/>
      <c r="E24" s="101"/>
      <c r="F24" s="64"/>
      <c r="G24" s="65"/>
      <c r="H24" s="215" t="str">
        <f t="shared" si="0"/>
        <v>-</v>
      </c>
      <c r="I24" s="4"/>
      <c r="J24" s="263"/>
      <c r="K24" s="264"/>
      <c r="L24" s="264"/>
      <c r="M24" s="264"/>
      <c r="N24" s="264"/>
      <c r="O24" s="265"/>
      <c r="P24" s="4"/>
      <c r="AA24" s="108">
        <f t="shared" si="1"/>
        <v>0</v>
      </c>
    </row>
    <row r="25" spans="1:27" ht="13.95" customHeight="1">
      <c r="A25" s="85">
        <v>21</v>
      </c>
      <c r="B25" s="129"/>
      <c r="C25" s="130" t="s">
        <v>528</v>
      </c>
      <c r="D25" s="62"/>
      <c r="E25" s="101">
        <v>45230</v>
      </c>
      <c r="F25" s="64">
        <v>1500</v>
      </c>
      <c r="G25" s="65"/>
      <c r="H25" s="215" t="str">
        <f t="shared" si="0"/>
        <v/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5" customHeight="1">
      <c r="A26" s="85">
        <v>22</v>
      </c>
      <c r="B26" s="129" t="s">
        <v>708</v>
      </c>
      <c r="C26" s="130" t="s">
        <v>563</v>
      </c>
      <c r="D26" s="62"/>
      <c r="E26" s="101">
        <v>45230</v>
      </c>
      <c r="F26" s="64">
        <v>1530</v>
      </c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5" customHeight="1">
      <c r="A27" s="85">
        <v>23</v>
      </c>
      <c r="B27" s="129"/>
      <c r="C27" s="130" t="s">
        <v>498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5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5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5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5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5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5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5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5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5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5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5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5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5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5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5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5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5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5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5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5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5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5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5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5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5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5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5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5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5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5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5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5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5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5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5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5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5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5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5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5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5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5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5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5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>
      <selection activeCell="E18" sqref="E18"/>
    </sheetView>
  </sheetViews>
  <sheetFormatPr defaultColWidth="8.69921875" defaultRowHeight="15" customHeight="1"/>
  <cols>
    <col min="1" max="1" width="3.3984375" style="45" customWidth="1"/>
    <col min="2" max="2" width="32.69921875" style="45" customWidth="1"/>
    <col min="3" max="7" width="16.59765625" style="47" customWidth="1"/>
    <col min="8" max="9" width="3.3984375" style="45" customWidth="1"/>
    <col min="10" max="14" width="14" style="174" customWidth="1"/>
    <col min="15" max="15" width="3.3984375" style="174" customWidth="1"/>
    <col min="16" max="20" width="14" style="174" customWidth="1"/>
    <col min="21" max="21" width="3.3984375" style="174" customWidth="1"/>
    <col min="22" max="26" width="14" style="174" customWidth="1"/>
    <col min="27" max="27" width="3.3984375" style="174" customWidth="1"/>
    <col min="28" max="32" width="14" style="174" customWidth="1"/>
    <col min="33" max="33" width="3.3984375" style="174" customWidth="1"/>
    <col min="34" max="38" width="14" style="174" customWidth="1"/>
    <col min="39" max="39" width="3.3984375" style="174" customWidth="1"/>
    <col min="40" max="44" width="14" style="174" customWidth="1"/>
    <col min="45" max="45" width="3.3984375" style="174" customWidth="1"/>
    <col min="46" max="50" width="14" style="174" customWidth="1"/>
    <col min="51" max="51" width="3.3984375" style="174" customWidth="1"/>
    <col min="52" max="56" width="14" style="174" customWidth="1"/>
    <col min="57" max="57" width="3.3984375" style="174" customWidth="1"/>
    <col min="58" max="62" width="14" style="174" customWidth="1"/>
    <col min="63" max="16384" width="8.69921875" style="45"/>
  </cols>
  <sheetData>
    <row r="1" spans="1:78" ht="15" customHeight="1">
      <c r="A1" s="38"/>
      <c r="B1" s="268" t="s">
        <v>240</v>
      </c>
      <c r="C1" s="27"/>
      <c r="D1" s="27"/>
      <c r="E1" s="27"/>
      <c r="F1" s="27"/>
      <c r="G1" s="27"/>
      <c r="H1" s="38"/>
      <c r="J1" s="274" t="s">
        <v>645</v>
      </c>
      <c r="K1" s="275"/>
      <c r="L1" s="275"/>
      <c r="M1" s="275"/>
      <c r="N1" s="276"/>
    </row>
    <row r="2" spans="1:78" ht="15" customHeight="1">
      <c r="A2" s="38"/>
      <c r="B2" s="268"/>
      <c r="C2" s="27"/>
      <c r="D2" s="27"/>
      <c r="E2" s="173"/>
      <c r="F2" s="173"/>
      <c r="G2" s="27"/>
      <c r="H2" s="38"/>
      <c r="J2" s="203" t="s">
        <v>341</v>
      </c>
      <c r="K2" s="209">
        <v>2.6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1.0545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>
        <v>45230</v>
      </c>
      <c r="D4" s="177" t="s">
        <v>323</v>
      </c>
      <c r="E4" s="27"/>
      <c r="F4" s="281" t="s">
        <v>755</v>
      </c>
      <c r="G4" s="282"/>
      <c r="H4" s="38"/>
    </row>
    <row r="5" spans="1:78" ht="15" customHeight="1">
      <c r="A5" s="38"/>
      <c r="B5" s="44" t="s">
        <v>224</v>
      </c>
      <c r="C5" s="48" t="s">
        <v>752</v>
      </c>
      <c r="D5" s="177" t="s">
        <v>226</v>
      </c>
      <c r="E5" s="27"/>
      <c r="F5" s="277" t="s">
        <v>756</v>
      </c>
      <c r="G5" s="278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 t="s">
        <v>753</v>
      </c>
      <c r="D6" s="177" t="s">
        <v>273</v>
      </c>
      <c r="E6" s="27"/>
      <c r="F6" s="279" t="str">
        <f>IF('Navarik 설정'!C22="","",'Navarik 설정'!C22)</f>
        <v>LS FUEL OIL (FLS)</v>
      </c>
      <c r="G6" s="280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 t="s">
        <v>754</v>
      </c>
      <c r="D7" s="177" t="s">
        <v>326</v>
      </c>
      <c r="E7" s="27"/>
      <c r="F7" s="66">
        <v>0.99950000000000006</v>
      </c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685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>
        <f>IF(C12="","",C12)</f>
        <v>131330.68</v>
      </c>
      <c r="D11" s="33">
        <f t="shared" ref="D11:G11" si="0">IF(D12="","",D12)</f>
        <v>20872.384999999998</v>
      </c>
      <c r="E11" s="33">
        <f t="shared" si="0"/>
        <v>21986.904999999999</v>
      </c>
      <c r="F11" s="34" t="str">
        <f t="shared" si="0"/>
        <v/>
      </c>
      <c r="G11" s="32">
        <f t="shared" si="0"/>
        <v>21639.59</v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>
        <v>131330.68</v>
      </c>
      <c r="D12" s="30">
        <v>20872.384999999998</v>
      </c>
      <c r="E12" s="30">
        <v>21986.904999999999</v>
      </c>
      <c r="F12" s="31"/>
      <c r="G12" s="29">
        <v>21639.59</v>
      </c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>
        <f>IF(C12="","",C12)</f>
        <v>131330.68</v>
      </c>
      <c r="D13" s="33">
        <f t="shared" ref="D13:G13" si="1">IF(D12="","",D12)</f>
        <v>20872.384999999998</v>
      </c>
      <c r="E13" s="33">
        <f t="shared" si="1"/>
        <v>21986.904999999999</v>
      </c>
      <c r="F13" s="34" t="str">
        <f t="shared" si="1"/>
        <v/>
      </c>
      <c r="G13" s="32">
        <f t="shared" si="1"/>
        <v>21639.59</v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 t="s">
        <v>751</v>
      </c>
      <c r="D15" s="46"/>
      <c r="E15" s="210" t="s">
        <v>651</v>
      </c>
      <c r="F15" s="39" t="s">
        <v>199</v>
      </c>
      <c r="G15" s="28">
        <v>1.0545</v>
      </c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>
        <v>140.9</v>
      </c>
      <c r="D16" s="26" t="s">
        <v>349</v>
      </c>
      <c r="E16" s="211" t="s">
        <v>398</v>
      </c>
      <c r="F16" s="39" t="s">
        <v>200</v>
      </c>
      <c r="G16" s="35">
        <v>2.6</v>
      </c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685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>
        <f>IF(C25="","",C25)</f>
        <v>131436.47</v>
      </c>
      <c r="D24" s="169">
        <f>IF(D25="","",D25)</f>
        <v>20889.198</v>
      </c>
      <c r="E24" s="169">
        <f>IF(E25="","",E25)</f>
        <v>22004.615000000002</v>
      </c>
      <c r="F24" s="172" t="str">
        <f>IF(F25="","",F25)</f>
        <v/>
      </c>
      <c r="G24" s="170">
        <f t="shared" ref="G24" si="6">IF(G25="","",G25)</f>
        <v>21657.02</v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>
        <v>131436.47</v>
      </c>
      <c r="D25" s="166">
        <v>20889.198</v>
      </c>
      <c r="E25" s="166">
        <v>22004.615000000002</v>
      </c>
      <c r="F25" s="171"/>
      <c r="G25" s="167">
        <v>21657.02</v>
      </c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>
        <f>IF(C25="","",C25)</f>
        <v>131436.47</v>
      </c>
      <c r="D26" s="169">
        <f t="shared" ref="D26:G26" si="7">IF(D25="","",D25)</f>
        <v>20889.198</v>
      </c>
      <c r="E26" s="169">
        <f t="shared" si="7"/>
        <v>22004.615000000002</v>
      </c>
      <c r="F26" s="172" t="str">
        <f t="shared" si="7"/>
        <v/>
      </c>
      <c r="G26" s="170">
        <f t="shared" si="7"/>
        <v>21657.02</v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>6B</v>
      </c>
      <c r="D28" s="27"/>
      <c r="E28" s="27"/>
      <c r="F28" s="39" t="s">
        <v>199</v>
      </c>
      <c r="G28" s="106">
        <f>IF(G15="","",G15)</f>
        <v>1.0545</v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>
        <v>131.5</v>
      </c>
      <c r="D29" s="37" t="str">
        <f>IF(D16="","",D16)</f>
        <v>°F</v>
      </c>
      <c r="E29" s="27"/>
      <c r="F29" s="39" t="s">
        <v>200</v>
      </c>
      <c r="G29" s="107">
        <f>IF(G16="","",G16)</f>
        <v>2.6</v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>
        <f>IF(OR(C12="",C25=""),"",C25-C12)</f>
        <v>105.79000000000815</v>
      </c>
      <c r="D36" s="142">
        <f>IF(OR(D12="",D25=""),"",D25-D12)</f>
        <v>16.813000000001921</v>
      </c>
      <c r="E36" s="142">
        <f>IF(OR(E12="",E25=""),"",E25-E12)</f>
        <v>17.710000000002765</v>
      </c>
      <c r="F36" s="142" t="str">
        <f>IF(OR(F12="",F25=""),"",F25-F12)</f>
        <v/>
      </c>
      <c r="G36" s="142">
        <f>IF(OR(G12="",G25=""),"",G25-G12)</f>
        <v>17.430000000000291</v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>
        <f>IF(OR(C12="",C25=""),"",C36/C12*100)</f>
        <v>8.0552388824917498E-2</v>
      </c>
      <c r="D37" s="143">
        <f t="shared" ref="D37:G37" si="8">IF(OR(D12="",D25=""),"",D36/D12*100)</f>
        <v>8.0551407996747482E-2</v>
      </c>
      <c r="E37" s="143">
        <f t="shared" si="8"/>
        <v>8.0547944333241833E-2</v>
      </c>
      <c r="F37" s="143" t="str">
        <f t="shared" si="8"/>
        <v/>
      </c>
      <c r="G37" s="143">
        <f t="shared" si="8"/>
        <v>8.0546812578243351E-2</v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 activeCell="G18" sqref="G18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6" t="s">
        <v>229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 t="s">
        <v>315</v>
      </c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 t="s">
        <v>733</v>
      </c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652</v>
      </c>
      <c r="C5" s="93" t="s">
        <v>266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709</v>
      </c>
      <c r="D7" s="252" t="s">
        <v>734</v>
      </c>
      <c r="E7" s="133" t="s">
        <v>718</v>
      </c>
      <c r="F7" s="253"/>
      <c r="G7" s="22" t="s">
        <v>746</v>
      </c>
      <c r="H7" s="254" t="s">
        <v>727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710</v>
      </c>
      <c r="D8" s="252" t="s">
        <v>735</v>
      </c>
      <c r="E8" s="133" t="s">
        <v>719</v>
      </c>
      <c r="F8" s="253"/>
      <c r="G8" s="22" t="s">
        <v>745</v>
      </c>
      <c r="H8" s="254" t="s">
        <v>728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711</v>
      </c>
      <c r="D9" s="252" t="s">
        <v>736</v>
      </c>
      <c r="E9" s="133" t="s">
        <v>720</v>
      </c>
      <c r="F9" s="253"/>
      <c r="G9" s="22" t="s">
        <v>743</v>
      </c>
      <c r="H9" s="254" t="s">
        <v>729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712</v>
      </c>
      <c r="D10" s="252" t="s">
        <v>737</v>
      </c>
      <c r="E10" s="133" t="s">
        <v>721</v>
      </c>
      <c r="F10" s="253"/>
      <c r="G10" s="22" t="s">
        <v>749</v>
      </c>
      <c r="H10" s="254" t="s">
        <v>729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713</v>
      </c>
      <c r="D11" s="252" t="s">
        <v>738</v>
      </c>
      <c r="E11" s="133" t="s">
        <v>722</v>
      </c>
      <c r="F11" s="253"/>
      <c r="G11" s="22" t="s">
        <v>744</v>
      </c>
      <c r="H11" s="254" t="s">
        <v>730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714</v>
      </c>
      <c r="D12" s="252" t="s">
        <v>739</v>
      </c>
      <c r="E12" s="133" t="s">
        <v>723</v>
      </c>
      <c r="F12" s="253"/>
      <c r="G12" s="22" t="s">
        <v>748</v>
      </c>
      <c r="H12" s="254" t="s">
        <v>730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715</v>
      </c>
      <c r="D13" s="252" t="s">
        <v>740</v>
      </c>
      <c r="E13" s="133" t="s">
        <v>724</v>
      </c>
      <c r="F13" s="253"/>
      <c r="G13" s="22" t="s">
        <v>750</v>
      </c>
      <c r="H13" s="254" t="s">
        <v>731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716</v>
      </c>
      <c r="D14" s="252" t="s">
        <v>742</v>
      </c>
      <c r="E14" s="133" t="s">
        <v>725</v>
      </c>
      <c r="F14" s="253"/>
      <c r="G14" s="22" t="s">
        <v>747</v>
      </c>
      <c r="H14" s="254" t="s">
        <v>732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717</v>
      </c>
      <c r="D15" s="252" t="s">
        <v>741</v>
      </c>
      <c r="E15" s="133" t="s">
        <v>726</v>
      </c>
      <c r="F15" s="253"/>
      <c r="G15" s="22" t="s">
        <v>759</v>
      </c>
      <c r="H15" s="254" t="s">
        <v>729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9"/>
      <c r="G85" s="289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2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8D9574A3-6405-4134-A92F-86E2C22B58E2}">
      <formula1>"* ,[ASTM] D4294"</formula1>
    </dataValidation>
    <dataValidation type="list" allowBlank="1" showInputMessage="1" showErrorMessage="1" sqref="D8" xr:uid="{8585E69A-F05D-4089-AC97-A49F5EB3EF8A}">
      <formula1>"* ,[ASTM] D445"</formula1>
    </dataValidation>
    <dataValidation type="list" allowBlank="1" showInputMessage="1" showErrorMessage="1" sqref="D9" xr:uid="{67F969AE-31DC-4BB9-89D4-31CE8054919D}">
      <formula1>"* ,[ASTM] D4530"</formula1>
    </dataValidation>
    <dataValidation type="list" allowBlank="1" showInputMessage="1" showErrorMessage="1" sqref="D10" xr:uid="{7C1DEE42-4973-45FE-AEB1-850F371428EE}">
      <formula1>"* ,[ASTM] D482"</formula1>
    </dataValidation>
    <dataValidation type="list" allowBlank="1" showInputMessage="1" showErrorMessage="1" sqref="D11" xr:uid="{70A5C39F-9718-4F08-9DD7-613316A17C02}">
      <formula1>"* ,[ASTM] D93"</formula1>
    </dataValidation>
    <dataValidation type="list" allowBlank="1" showInputMessage="1" showErrorMessage="1" sqref="D12" xr:uid="{545217B7-7386-4204-A40B-B2BC7E876F80}">
      <formula1>"* ,[ASTM] D97"</formula1>
    </dataValidation>
    <dataValidation type="list" allowBlank="1" showInputMessage="1" showErrorMessage="1" sqref="D13" xr:uid="{7E19F21F-6DF0-4586-94F3-4CAD32F3D70F}">
      <formula1>"* ,[ASTM] D1298"</formula1>
    </dataValidation>
    <dataValidation type="list" allowBlank="1" showInputMessage="1" showErrorMessage="1" sqref="D14" xr:uid="{AAFFDC4A-B568-4195-AEE0-0EF4840B5B27}">
      <formula1>"[ISO] 10478,[IP] 501,[IP] 377,[IP] 470,[ASTM] D5184,[ASTM] D5185"</formula1>
    </dataValidation>
    <dataValidation type="list" allowBlank="1" showInputMessage="1" showErrorMessage="1" sqref="D15" xr:uid="{701E2377-B2D1-45FA-B306-6CCFB18C25AE}">
      <formula1>"[ISO] 10307-2,[IP] 390,[ASTM] D4870,[IP] 390A"</formula1>
    </dataValidation>
    <dataValidation type="list" allowBlank="1" showInputMessage="1" showErrorMessage="1" sqref="H7" xr:uid="{2007B781-C1E1-480A-9173-F1504DBF3431}">
      <formula1>"%m,%m/m,mass%,mg/kg,%vol,%wt,ppm,ppm w/w"</formula1>
    </dataValidation>
    <dataValidation type="list" allowBlank="1" showInputMessage="1" showErrorMessage="1" sqref="H8" xr:uid="{C0CB42F3-647B-4AFE-8731-6A3EDC651CEC}">
      <formula1>"cSt,n/a,mm²/s"</formula1>
    </dataValidation>
    <dataValidation type="list" allowBlank="1" showInputMessage="1" showErrorMessage="1" sqref="H9" xr:uid="{B1AB43B7-DC99-4BE2-9EB0-4F6F89AA4852}">
      <formula1>"%m,n/a,mass%,%wt"</formula1>
    </dataValidation>
    <dataValidation type="list" allowBlank="1" showInputMessage="1" showErrorMessage="1" sqref="H10" xr:uid="{5EC9DF22-87FB-4462-851B-D1E0C45AD40C}">
      <formula1>"%m,n/a,%m/m,mass%,%wt,ppm,ppm w/w,wt ppm"</formula1>
    </dataValidation>
    <dataValidation type="list" allowBlank="1" showInputMessage="1" showErrorMessage="1" sqref="H11" xr:uid="{1096F472-A5A7-4B16-B916-4C78EFC5F08D}">
      <formula1>"rating,°C,°F"</formula1>
    </dataValidation>
    <dataValidation type="list" allowBlank="1" showInputMessage="1" showErrorMessage="1" sqref="H12" xr:uid="{57E86319-308D-4CD1-9D17-70F256E394E6}">
      <formula1>"°C,°F"</formula1>
    </dataValidation>
    <dataValidation type="list" allowBlank="1" showInputMessage="1" showErrorMessage="1" sqref="H13" xr:uid="{CDA86135-BACD-4820-9B07-AF20A3A0C799}">
      <formula1>"API@60°F,n/a,kg/l,g/ml,kg/m³,g/cm³"</formula1>
    </dataValidation>
    <dataValidation type="list" allowBlank="1" showInputMessage="1" showErrorMessage="1" sqref="H14" xr:uid="{9B72D2CE-5851-40C4-BD7F-A2F130D8A49C}">
      <formula1>"mg/kg,%vol,%wt,ppm"</formula1>
    </dataValidation>
    <dataValidation type="list" allowBlank="1" showInputMessage="1" showErrorMessage="1" sqref="H15" xr:uid="{8C49FE5A-D294-4F7F-93C8-1E2F3E3B6B1E}">
      <formula1>"%m/m,mass%,%wt"</formula1>
    </dataValidation>
    <dataValidation type="list" allowBlank="1" showInputMessage="1" showErrorMessage="1" sqref="F7 F8 F9 F10 F11 F12 F13 F14 F15" xr:uid="{C518A040-3574-46CB-B6F5-3B2A3DF8AB62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6" t="s">
        <v>230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6" t="s">
        <v>232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6" t="s">
        <v>233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6" t="s">
        <v>234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6" t="s">
        <v>235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6" t="s">
        <v>236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6" t="s">
        <v>237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6" t="s">
        <v>238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6" t="s">
        <v>239</v>
      </c>
      <c r="C1" s="286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6"/>
      <c r="C2" s="286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8"/>
      <c r="G3" s="288"/>
      <c r="H3" s="288"/>
      <c r="I3" s="288"/>
      <c r="J3" s="27" t="str">
        <f>IF(F2=1,"","결과 입력 (셀 범위 Q1 ~ AD82)")</f>
        <v/>
      </c>
      <c r="K3" s="7"/>
      <c r="L3" s="283" t="str">
        <f>IF(F2&gt;=2,"Add New Sample (2)","")</f>
        <v/>
      </c>
      <c r="M3" s="283"/>
      <c r="N3" s="283"/>
      <c r="O3" s="38"/>
      <c r="P3" s="283" t="str">
        <f>IF(F2&gt;=3,"Add New Sample (3)","")</f>
        <v/>
      </c>
      <c r="Q3" s="283"/>
      <c r="R3" s="283"/>
      <c r="S3" s="38"/>
      <c r="T3" s="283" t="str">
        <f>IF(F2&gt;=4,"Add New Sample (4)","")</f>
        <v/>
      </c>
      <c r="U3" s="283"/>
      <c r="V3" s="283"/>
      <c r="W3" s="38"/>
      <c r="X3" s="283" t="str">
        <f>IF(F2&gt;=5,"Add New Sample (5)","")</f>
        <v/>
      </c>
      <c r="Y3" s="283"/>
      <c r="Z3" s="283"/>
      <c r="AA3" s="38"/>
      <c r="AB3" s="283" t="str">
        <f>IF(F2&gt;=6,"Add New Sample (6)","")</f>
        <v/>
      </c>
      <c r="AC3" s="283"/>
      <c r="AD3" s="283"/>
      <c r="AE3" s="38"/>
      <c r="AF3" s="283" t="str">
        <f>IF(F2&gt;=7,"Add New Sample (7)","")</f>
        <v/>
      </c>
      <c r="AG3" s="283"/>
      <c r="AH3" s="283"/>
      <c r="AI3" s="38"/>
      <c r="AJ3" s="283" t="str">
        <f>IF(F2&gt;=8,"Add New Sample (8)","")</f>
        <v/>
      </c>
      <c r="AK3" s="283"/>
      <c r="AL3" s="283"/>
      <c r="AM3" s="38"/>
      <c r="AN3" s="283" t="str">
        <f>IF(F2&gt;=9,"Add New Sample (9)","")</f>
        <v/>
      </c>
      <c r="AO3" s="283"/>
      <c r="AP3" s="283"/>
      <c r="AQ3" s="38"/>
      <c r="AR3" s="283" t="str">
        <f>IF(F2&gt;=10,"Add New Sample (10)","")</f>
        <v/>
      </c>
      <c r="AS3" s="283"/>
      <c r="AT3" s="283"/>
      <c r="AU3" s="38"/>
      <c r="AV3" s="283" t="str">
        <f>IF(F2&gt;=11,"Add New Sample (11)","")</f>
        <v/>
      </c>
      <c r="AW3" s="283"/>
      <c r="AX3" s="283"/>
      <c r="AY3" s="38"/>
      <c r="AZ3" s="283" t="str">
        <f>IF(F2&gt;=12,"Add New Sample (12)","")</f>
        <v/>
      </c>
      <c r="BA3" s="283"/>
      <c r="BB3" s="283"/>
      <c r="BC3" s="38"/>
      <c r="BD3" s="283" t="str">
        <f>IF(F2&gt;=13,"Add New Sample (13)","")</f>
        <v/>
      </c>
      <c r="BE3" s="283"/>
      <c r="BF3" s="283"/>
      <c r="BG3" s="38"/>
      <c r="BH3" s="283" t="str">
        <f>IF(F2&gt;=14,"Add New Sample (14)","")</f>
        <v/>
      </c>
      <c r="BI3" s="283"/>
      <c r="BJ3" s="283"/>
      <c r="BK3" s="38"/>
      <c r="BL3" s="283" t="str">
        <f>IF(F2&gt;=15,"Add New Sample (15)","")</f>
        <v/>
      </c>
      <c r="BM3" s="283"/>
      <c r="BN3" s="283"/>
      <c r="BO3" s="38"/>
      <c r="BP3" s="283" t="str">
        <f>IF(F2&gt;=16,"Add New Sample (16)","")</f>
        <v/>
      </c>
      <c r="BQ3" s="283"/>
      <c r="BR3" s="283"/>
      <c r="BS3" s="38"/>
      <c r="BT3" s="283" t="str">
        <f>IF(F2&gt;=17,"Add New Sample (17)","")</f>
        <v/>
      </c>
      <c r="BU3" s="283"/>
      <c r="BV3" s="283"/>
      <c r="BW3" s="7"/>
    </row>
    <row r="4" spans="1:75">
      <c r="A4" s="94"/>
      <c r="B4" s="44"/>
      <c r="C4" s="44"/>
      <c r="D4" s="121"/>
      <c r="E4" s="131" t="s">
        <v>5</v>
      </c>
      <c r="F4" s="287"/>
      <c r="G4" s="287"/>
      <c r="H4" s="287"/>
      <c r="I4" s="287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0" t="s">
        <v>268</v>
      </c>
      <c r="G5" s="290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9"/>
      <c r="G85" s="289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7.399999999999999"/>
  <cols>
    <col min="2" max="2" width="11.09765625" bestFit="1" customWidth="1"/>
    <col min="10" max="10" width="30.1992187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45230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55" t="s">
        <v>690</v>
      </c>
      <c r="K87" t="s">
        <v>686</v>
      </c>
      <c r="L87" s="155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55" t="s">
        <v>691</v>
      </c>
      <c r="K88" t="s">
        <v>687</v>
      </c>
      <c r="L88" s="155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55" t="s">
        <v>692</v>
      </c>
      <c r="K89" t="s">
        <v>688</v>
      </c>
      <c r="L89" s="155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55" t="s">
        <v>692</v>
      </c>
      <c r="K90" t="s">
        <v>689</v>
      </c>
      <c r="L90" s="155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55" t="s">
        <v>694</v>
      </c>
      <c r="K91" t="s">
        <v>693</v>
      </c>
      <c r="L91" s="155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541020</xdr:colOff>
                    <xdr:row>89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Kim, HyunJin (Ulsan)</cp:lastModifiedBy>
  <cp:lastPrinted>2023-08-21T01:31:29Z</cp:lastPrinted>
  <dcterms:created xsi:type="dcterms:W3CDTF">2022-11-23T02:24:26Z</dcterms:created>
  <dcterms:modified xsi:type="dcterms:W3CDTF">2023-10-31T08:08:53Z</dcterms:modified>
</cp:coreProperties>
</file>